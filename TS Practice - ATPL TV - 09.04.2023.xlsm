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İŞE ALIM SÜREÇLERİ\SunExpress - İşe Alım Süreci\2 - Mollymawk\TS - Practice\"/>
    </mc:Choice>
  </mc:AlternateContent>
  <bookViews>
    <workbookView xWindow="10095" yWindow="4395" windowWidth="17745" windowHeight="12855" tabRatio="896" firstSheet="1" activeTab="1"/>
  </bookViews>
  <sheets>
    <sheet name="Formulas" sheetId="25" state="hidden" r:id="rId1"/>
    <sheet name="Questions" sheetId="27" r:id="rId2"/>
    <sheet name="Backup" sheetId="26" state="hidden" r:id="rId3"/>
  </sheet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71" i="27" l="1"/>
  <c r="F369" i="27"/>
  <c r="F367" i="27"/>
  <c r="F365" i="27"/>
  <c r="F363" i="27" l="1"/>
  <c r="F359" i="27"/>
  <c r="F357" i="27"/>
  <c r="F355" i="27"/>
  <c r="F353" i="27"/>
  <c r="F351" i="27"/>
  <c r="F349" i="27"/>
  <c r="F347" i="27"/>
  <c r="F345" i="27"/>
  <c r="F343" i="27"/>
  <c r="F341" i="27"/>
  <c r="F339" i="27"/>
  <c r="F337" i="27"/>
  <c r="F335" i="27"/>
  <c r="F333" i="27"/>
  <c r="F331" i="27"/>
  <c r="F329" i="27"/>
  <c r="F327" i="27"/>
  <c r="F325" i="27"/>
  <c r="F323" i="27"/>
  <c r="F321" i="27"/>
  <c r="F319" i="27"/>
  <c r="F317" i="27"/>
  <c r="F315" i="27" l="1"/>
  <c r="F313" i="27"/>
  <c r="F311" i="27"/>
  <c r="F309" i="27"/>
  <c r="F307" i="27"/>
  <c r="F305" i="27"/>
  <c r="F303" i="27"/>
  <c r="F301" i="27"/>
  <c r="F299" i="27"/>
  <c r="F297" i="27"/>
  <c r="F295" i="27"/>
  <c r="F293" i="27"/>
  <c r="F291" i="27"/>
  <c r="F289" i="27"/>
  <c r="F287" i="27"/>
  <c r="F285" i="27"/>
  <c r="F283" i="27"/>
  <c r="F281" i="27"/>
  <c r="F279" i="27"/>
  <c r="F277" i="27"/>
  <c r="F275" i="27"/>
  <c r="F273" i="27"/>
  <c r="F269" i="27"/>
  <c r="F267" i="27"/>
  <c r="F265" i="27"/>
  <c r="F263" i="27"/>
  <c r="F261" i="27"/>
  <c r="F259" i="27"/>
  <c r="F257" i="27"/>
  <c r="F255" i="27"/>
  <c r="F253" i="27"/>
  <c r="F251" i="27"/>
  <c r="F249" i="27"/>
  <c r="F247" i="27"/>
  <c r="F245" i="27"/>
  <c r="F243" i="27"/>
  <c r="F241" i="27"/>
  <c r="F239" i="27"/>
  <c r="F237" i="27"/>
  <c r="F235" i="27"/>
  <c r="F233" i="27"/>
  <c r="F231" i="27"/>
  <c r="F229" i="27"/>
  <c r="F227" i="27"/>
  <c r="F225" i="27"/>
  <c r="F223" i="27"/>
  <c r="F53" i="27" l="1"/>
  <c r="F93" i="27"/>
  <c r="F95" i="27"/>
  <c r="F97" i="27"/>
  <c r="F99" i="27"/>
  <c r="F219" i="27"/>
  <c r="F217" i="27"/>
  <c r="F215" i="27"/>
  <c r="F207" i="27"/>
  <c r="F205" i="27"/>
  <c r="F203" i="27"/>
  <c r="F201" i="27"/>
  <c r="F199" i="27"/>
  <c r="F197" i="27"/>
  <c r="F195" i="27"/>
  <c r="F193" i="27"/>
  <c r="F191" i="27"/>
  <c r="F189" i="27"/>
  <c r="F187" i="27"/>
  <c r="F185" i="27"/>
  <c r="F183" i="27"/>
  <c r="F181" i="27"/>
  <c r="F179" i="27"/>
  <c r="F175" i="27"/>
  <c r="F173" i="27"/>
  <c r="F171" i="27"/>
  <c r="F169" i="27"/>
  <c r="F167" i="27"/>
  <c r="F165" i="27"/>
  <c r="F163" i="27"/>
  <c r="F161" i="27"/>
  <c r="F159" i="27"/>
  <c r="F157" i="27"/>
  <c r="F155" i="27"/>
  <c r="F153" i="27"/>
  <c r="F151" i="27"/>
  <c r="F149" i="27"/>
  <c r="F147" i="27"/>
  <c r="F145" i="27"/>
  <c r="F143" i="27"/>
  <c r="F141" i="27"/>
  <c r="F139" i="27"/>
  <c r="F137" i="27"/>
  <c r="F135" i="27"/>
  <c r="F133" i="27"/>
  <c r="F123" i="27"/>
  <c r="F121" i="27"/>
  <c r="F131" i="27"/>
  <c r="F129" i="27"/>
  <c r="F127" i="27"/>
  <c r="F111" i="27"/>
  <c r="F109" i="27"/>
  <c r="F119" i="27"/>
  <c r="F117" i="27"/>
  <c r="F115" i="27"/>
  <c r="F113" i="27"/>
  <c r="F107" i="27"/>
  <c r="F105" i="27"/>
  <c r="F103" i="27"/>
  <c r="F101" i="27"/>
  <c r="F91" i="27"/>
  <c r="F89" i="27"/>
  <c r="F87" i="27"/>
  <c r="F83" i="27"/>
  <c r="F81" i="27"/>
  <c r="F79" i="27"/>
  <c r="F55" i="27"/>
  <c r="F77" i="27"/>
  <c r="F75" i="27"/>
  <c r="F73" i="27"/>
  <c r="F71" i="27"/>
  <c r="F69" i="27"/>
  <c r="F67" i="27"/>
  <c r="F65" i="27"/>
  <c r="F63" i="27"/>
  <c r="F61" i="27"/>
  <c r="F59" i="27"/>
  <c r="F57" i="27"/>
  <c r="F51" i="27"/>
  <c r="F49" i="27"/>
  <c r="F45" i="27"/>
  <c r="F43" i="27"/>
  <c r="F41" i="27"/>
  <c r="F39" i="27"/>
  <c r="F37" i="27"/>
  <c r="F177" i="27" l="1"/>
  <c r="F33" i="27"/>
  <c r="F31" i="27"/>
  <c r="F29" i="27"/>
  <c r="F27" i="27"/>
  <c r="F25" i="27"/>
  <c r="F23" i="27"/>
  <c r="F21" i="27"/>
  <c r="F19" i="27"/>
  <c r="F17" i="27"/>
  <c r="F15" i="27"/>
  <c r="F13" i="27"/>
  <c r="F11" i="27"/>
  <c r="F9" i="27"/>
  <c r="F125" i="27"/>
  <c r="F213" i="27"/>
  <c r="F211" i="27"/>
  <c r="F209" i="27"/>
  <c r="F35" i="27"/>
  <c r="F7" i="27"/>
  <c r="F5" i="27"/>
  <c r="F3" i="27"/>
  <c r="F47" i="27"/>
  <c r="F85" i="27"/>
  <c r="G13" i="26" l="1"/>
  <c r="F13" i="26"/>
  <c r="H10" i="26"/>
  <c r="D11" i="26" s="1"/>
  <c r="G10" i="26"/>
  <c r="U8" i="26"/>
  <c r="S8" i="26"/>
  <c r="R8" i="26"/>
  <c r="T8" i="26" s="1"/>
  <c r="U7" i="26"/>
  <c r="S7" i="26"/>
  <c r="R7" i="26"/>
  <c r="T7" i="26" s="1"/>
  <c r="G7" i="26"/>
  <c r="F7" i="26"/>
  <c r="U6" i="26"/>
  <c r="T6" i="26"/>
  <c r="S6" i="26"/>
  <c r="R6" i="26"/>
  <c r="U5" i="26"/>
  <c r="S5" i="26"/>
  <c r="R5" i="26"/>
  <c r="T5" i="26" s="1"/>
  <c r="U4" i="26"/>
  <c r="S4" i="26"/>
  <c r="R4" i="26"/>
  <c r="T4" i="26" s="1"/>
  <c r="G4" i="26"/>
  <c r="F4" i="26"/>
  <c r="U3" i="26"/>
  <c r="S3" i="26"/>
  <c r="R3" i="26"/>
  <c r="T3" i="26" s="1"/>
  <c r="U2" i="26"/>
  <c r="S2" i="26"/>
  <c r="R2" i="26"/>
  <c r="T2" i="26" s="1"/>
  <c r="U1" i="26"/>
  <c r="S1" i="26"/>
  <c r="R1" i="26"/>
  <c r="T1" i="26" s="1"/>
  <c r="G1" i="26"/>
  <c r="F1" i="26"/>
  <c r="E4" i="25"/>
  <c r="D10" i="25"/>
  <c r="E10" i="25"/>
  <c r="E7" i="25"/>
  <c r="F7" i="25"/>
  <c r="D1" i="25"/>
  <c r="D4" i="25"/>
  <c r="E1" i="25"/>
  <c r="A1" i="26" l="1"/>
  <c r="B1" i="26" s="1"/>
  <c r="A7" i="26"/>
  <c r="B7" i="26" s="1"/>
  <c r="H4" i="26"/>
  <c r="D5" i="26" s="1"/>
  <c r="F10" i="26"/>
  <c r="A10" i="26" s="1"/>
  <c r="B10" i="26" s="1"/>
  <c r="H13" i="26"/>
  <c r="D14" i="26" s="1"/>
  <c r="A4" i="26"/>
  <c r="B4" i="26" s="1"/>
  <c r="A13" i="26"/>
  <c r="B13" i="26" s="1"/>
  <c r="H7" i="26"/>
  <c r="D8" i="26" s="1"/>
  <c r="H1" i="26"/>
  <c r="D2" i="26" s="1"/>
  <c r="A10" i="25"/>
  <c r="B10" i="25" s="1"/>
  <c r="A4" i="25"/>
  <c r="B4" i="25" s="1"/>
  <c r="A1" i="25"/>
  <c r="B1" i="25" s="1"/>
  <c r="F1" i="25"/>
  <c r="H2" i="25" s="1"/>
  <c r="F10" i="25"/>
  <c r="H11" i="25" s="1"/>
  <c r="D7" i="25"/>
  <c r="H8" i="25"/>
  <c r="F4" i="25"/>
  <c r="H5" i="25" s="1"/>
  <c r="A7" i="25" l="1"/>
  <c r="B7" i="25" s="1"/>
</calcChain>
</file>

<file path=xl/sharedStrings.xml><?xml version="1.0" encoding="utf-8"?>
<sst xmlns="http://schemas.openxmlformats.org/spreadsheetml/2006/main" count="357" uniqueCount="283">
  <si>
    <t>19 times 2</t>
  </si>
  <si>
    <t>1 9 times   2</t>
  </si>
  <si>
    <t>Question</t>
  </si>
  <si>
    <t>Your Answer</t>
  </si>
  <si>
    <t>Result</t>
  </si>
  <si>
    <t>No Input!</t>
  </si>
  <si>
    <t>192 divided by 3</t>
  </si>
  <si>
    <t>1 9 2 divided by 3</t>
  </si>
  <si>
    <t>Please enter</t>
  </si>
  <si>
    <t>24 plus 37</t>
  </si>
  <si>
    <t>2 4 plus 3 7</t>
  </si>
  <si>
    <t>2 5 0 0 minus 1 2 5 0</t>
  </si>
  <si>
    <t>2500 minus 1250</t>
  </si>
  <si>
    <t>12500 minus 750</t>
  </si>
  <si>
    <t>1 2 5 0 0 minus 7 5 0</t>
  </si>
  <si>
    <t>12500 minus 9600</t>
  </si>
  <si>
    <t>1 2 5 0 0 minus 9 6 0 0</t>
  </si>
  <si>
    <t>55 percent of 300</t>
  </si>
  <si>
    <t>5 5 percent of 3 0 0</t>
  </si>
  <si>
    <t>How many odd numbers do you hear?</t>
  </si>
  <si>
    <t>16 plus 38</t>
  </si>
  <si>
    <t>12 plus 15</t>
  </si>
  <si>
    <t>57 plus 47</t>
  </si>
  <si>
    <t>56 plus 45</t>
  </si>
  <si>
    <t>57 plus 67</t>
  </si>
  <si>
    <t>1 6 plus 3 8</t>
  </si>
  <si>
    <t>1 2 plus 1 5</t>
  </si>
  <si>
    <t>5 7 plus 4 7</t>
  </si>
  <si>
    <t>5 6 plus 4 5</t>
  </si>
  <si>
    <t>5 7 plus 6 7</t>
  </si>
  <si>
    <t>3 multiplied by 5</t>
  </si>
  <si>
    <t>Please calculate</t>
  </si>
  <si>
    <t>5 multiplied by 3</t>
  </si>
  <si>
    <t>9 multiplied by 9</t>
  </si>
  <si>
    <t>8 multiplied by 9</t>
  </si>
  <si>
    <t>47 multiplied by 3</t>
  </si>
  <si>
    <t>22 multiplied by 6</t>
  </si>
  <si>
    <t>38 multiplied by 6</t>
  </si>
  <si>
    <t>17 multiplied by 8</t>
  </si>
  <si>
    <t>18 multiplied by 19</t>
  </si>
  <si>
    <t>18 multiplied by 21</t>
  </si>
  <si>
    <t>17 multiplied by 19</t>
  </si>
  <si>
    <t>17 multiplied by 29</t>
  </si>
  <si>
    <t>29 multiplied by 7</t>
  </si>
  <si>
    <t>38 multiplied by 16</t>
  </si>
  <si>
    <t>15 multiplied by 17</t>
  </si>
  <si>
    <t>16 multiplied by 17</t>
  </si>
  <si>
    <t>13 multiplied by 16</t>
  </si>
  <si>
    <t>14 multiplied by 17</t>
  </si>
  <si>
    <t>4 7 multiplied by 3</t>
  </si>
  <si>
    <t>2 2 multiplied by 6</t>
  </si>
  <si>
    <t>3 8 multiplied by 6</t>
  </si>
  <si>
    <t>1 7 multiplied by 8</t>
  </si>
  <si>
    <t>1 8 multiplied by 1 9</t>
  </si>
  <si>
    <t>1 8 multiplied by 2 1</t>
  </si>
  <si>
    <t>1 7 multiplied by 1 9</t>
  </si>
  <si>
    <t>1 7 multiplied by 2 9</t>
  </si>
  <si>
    <t>2 9 multiplied by 7</t>
  </si>
  <si>
    <t>3 8 multiplied by 1 6</t>
  </si>
  <si>
    <t>1 5 multiplied by 1 7</t>
  </si>
  <si>
    <t>1 6 multiplied by 1 7</t>
  </si>
  <si>
    <t>1 3 multiplied by 1 6</t>
  </si>
  <si>
    <t>1 4 multiplied by 1 7</t>
  </si>
  <si>
    <t>102 divided by 3</t>
  </si>
  <si>
    <t>172 divided by 4</t>
  </si>
  <si>
    <t>252 divided by 4</t>
  </si>
  <si>
    <t>308 divided by 4</t>
  </si>
  <si>
    <t>312 divided by 4</t>
  </si>
  <si>
    <t>228 divided by 6</t>
  </si>
  <si>
    <t>234 divided by 6</t>
  </si>
  <si>
    <t>184 divided by 8</t>
  </si>
  <si>
    <t>256 divided by 8</t>
  </si>
  <si>
    <t>279 divided by 3</t>
  </si>
  <si>
    <t>228 divided by 3</t>
  </si>
  <si>
    <t>342 divided by 6</t>
  </si>
  <si>
    <t>378 divided by 6</t>
  </si>
  <si>
    <t>312 divided by 8</t>
  </si>
  <si>
    <t>392 divided by 8</t>
  </si>
  <si>
    <t>1 0 2 divided by 3</t>
  </si>
  <si>
    <t>2 7 9 divided by 3</t>
  </si>
  <si>
    <t>2 2 8 divided by 3</t>
  </si>
  <si>
    <t>1 7 2 divided by 4</t>
  </si>
  <si>
    <t>2 5 2 divided by 4</t>
  </si>
  <si>
    <t>3 0 8 divided by 4</t>
  </si>
  <si>
    <t>3 1 2 divided by 4</t>
  </si>
  <si>
    <t>2 2 8 divided by 6</t>
  </si>
  <si>
    <t>2 3 4 divided by 6</t>
  </si>
  <si>
    <t>3 4 2 divided by 6</t>
  </si>
  <si>
    <t>3 7 8 divided by 6</t>
  </si>
  <si>
    <t>1 8 4 divided by 8</t>
  </si>
  <si>
    <t>2 5 6 divided by 8</t>
  </si>
  <si>
    <t>3 1 2 divided by 8</t>
  </si>
  <si>
    <t>3 9 2 divided by 8</t>
  </si>
  <si>
    <t>168 divided by 8</t>
  </si>
  <si>
    <t>128 divided by 8</t>
  </si>
  <si>
    <t>1 6 8 divided by 8</t>
  </si>
  <si>
    <t>1 2 8 divided by 8</t>
  </si>
  <si>
    <t>55 percent of 160</t>
  </si>
  <si>
    <t>55 percent of 2200</t>
  </si>
  <si>
    <t>55 percent of 4500</t>
  </si>
  <si>
    <t>55 percent of 400</t>
  </si>
  <si>
    <t>55 percent of 120</t>
  </si>
  <si>
    <t>5 5 percent of 4 0 0</t>
  </si>
  <si>
    <t>5 5 percent of 1 2 0</t>
  </si>
  <si>
    <t>5 5 percent of 1 6 0</t>
  </si>
  <si>
    <t>5 5 percent of 2 2 0 0</t>
  </si>
  <si>
    <t>5 5 percent of 4 5 0 0</t>
  </si>
  <si>
    <t>45 percent of 400</t>
  </si>
  <si>
    <t>45 percent of 120</t>
  </si>
  <si>
    <t>45 percent of 160</t>
  </si>
  <si>
    <t>45 percent of 300</t>
  </si>
  <si>
    <t>45 percent of 2200</t>
  </si>
  <si>
    <t>45 percent of 4500</t>
  </si>
  <si>
    <t>45 percent of 1800</t>
  </si>
  <si>
    <t>45 percent of 2500</t>
  </si>
  <si>
    <t>45 percent of 5500</t>
  </si>
  <si>
    <t>4 5 percent of 1 8 0 0</t>
  </si>
  <si>
    <t>4 5 percent of 2 5 0 0</t>
  </si>
  <si>
    <t>4 5 percent of 5 5 0 0</t>
  </si>
  <si>
    <t>4 5 percent of 4 0 0</t>
  </si>
  <si>
    <t>4 5 percent of 1 2 0</t>
  </si>
  <si>
    <t>4 5 percent of 1 6 0</t>
  </si>
  <si>
    <t>4 5 percent of 3 0 0</t>
  </si>
  <si>
    <t>4 5 percent of 2 2 0 0</t>
  </si>
  <si>
    <t>4 5 percent of 4 5 0 0</t>
  </si>
  <si>
    <t>15 percent of 2400</t>
  </si>
  <si>
    <t>15 percent of 2700</t>
  </si>
  <si>
    <t>15 percent of 2880</t>
  </si>
  <si>
    <t>15 percent of 3600</t>
  </si>
  <si>
    <t>1 5 percent of 2 4 0 0</t>
  </si>
  <si>
    <t>1 5 percent of 2 7 0 0</t>
  </si>
  <si>
    <t>1 5 percent of 2 8 8 0</t>
  </si>
  <si>
    <t>1 5 percent of 3 6 0 0</t>
  </si>
  <si>
    <t>85 percent of 2800</t>
  </si>
  <si>
    <t>85 percent of 3200</t>
  </si>
  <si>
    <t>85 percent of 2000</t>
  </si>
  <si>
    <t>85 percent of 1600</t>
  </si>
  <si>
    <t>8 5 percent of 2 0 0 0</t>
  </si>
  <si>
    <t>8 5 percent of 1 6 0 0</t>
  </si>
  <si>
    <t>8 5 percent of 2 8 0 0</t>
  </si>
  <si>
    <t>8 5 percent of 3 2 0 0</t>
  </si>
  <si>
    <t>35 percent of 300</t>
  </si>
  <si>
    <t>35 percent of 160</t>
  </si>
  <si>
    <t>35 percent of 280</t>
  </si>
  <si>
    <t>35 percent of 1600</t>
  </si>
  <si>
    <t>35 percent of 6000</t>
  </si>
  <si>
    <t>3 5 percent of 3 0 0</t>
  </si>
  <si>
    <t>3 5 percent of 1 6 0</t>
  </si>
  <si>
    <t>3 5 percent of 2 8 0</t>
  </si>
  <si>
    <t>3 5 percent of 1 6 0 0</t>
  </si>
  <si>
    <t>3 5 percent of 6 0 0 0</t>
  </si>
  <si>
    <t>52, 81, 96, 7,  89, 57, 9, 74, 26, 12</t>
  </si>
  <si>
    <t>94, 48, 2, 13, 30, 95, 57, 55, 79, 91</t>
  </si>
  <si>
    <t>How many even numbers do you hear?</t>
  </si>
  <si>
    <t>74, 82, 22, 19, 26, 34, 46, 35, 98, 10</t>
  </si>
  <si>
    <t>77, 25, 81, 33, 41, 49, 14, 65, 9, 93</t>
  </si>
  <si>
    <t>Enter the highest number of the following sequence</t>
  </si>
  <si>
    <t>76, 85, 59, 88, 62, 74</t>
  </si>
  <si>
    <t>Enter the lowest number of the following sequence</t>
  </si>
  <si>
    <t>56, 24, 28, 65, 81, 29</t>
  </si>
  <si>
    <t>Enter the second highest number of the following sequence</t>
  </si>
  <si>
    <t>Enter the second lowest number of the following sequence</t>
  </si>
  <si>
    <t>65, 75, 56, 71, 27, 67</t>
  </si>
  <si>
    <t>56, 22, 28, 65, 81, 29</t>
  </si>
  <si>
    <t>96 minus 45</t>
  </si>
  <si>
    <t>9 6 minus 4 5</t>
  </si>
  <si>
    <t>12500 minus 7050</t>
  </si>
  <si>
    <t>1 2 5 0 0 minus 7 0 5 0</t>
  </si>
  <si>
    <t>12240 minus 2450</t>
  </si>
  <si>
    <t>1 2 2 4 0 minus 2 4 5 0</t>
  </si>
  <si>
    <t>NEW - 2nd Highest &amp; 2nd Lowest</t>
  </si>
  <si>
    <t>24, 75, 78, 66, 46, 44</t>
  </si>
  <si>
    <t>15, 48, 89, 95, 26, 36</t>
  </si>
  <si>
    <t>79, 41, 15, 23, 75, 88</t>
  </si>
  <si>
    <t>55, 87, 14, 29, 51, 43</t>
  </si>
  <si>
    <t>63, 74, 85, 78, 72, 41</t>
  </si>
  <si>
    <t>96, 26, 94, 57, 75, 47</t>
  </si>
  <si>
    <t>11, 88, 22, 66, 55, 49</t>
  </si>
  <si>
    <t>23, 45, 34, 65, 84, 12</t>
  </si>
  <si>
    <t>21, 65, 84, 71, 24, 36</t>
  </si>
  <si>
    <t>36, 34, 26, 84, 74, 96</t>
  </si>
  <si>
    <t>54, 45, 78, 41, 29, 92</t>
  </si>
  <si>
    <t>40, 85, 20, 36, 45, 97</t>
  </si>
  <si>
    <t>NEW - Percentage</t>
  </si>
  <si>
    <t>35 percent of 400</t>
  </si>
  <si>
    <t>3 5 percent of 4 0 0</t>
  </si>
  <si>
    <t>35 percent of 140</t>
  </si>
  <si>
    <t>3 5 percent of 1 4 0</t>
  </si>
  <si>
    <t>35 percent of 120</t>
  </si>
  <si>
    <t>3 5 percent of 1 2 0</t>
  </si>
  <si>
    <t>35 percent of 600</t>
  </si>
  <si>
    <t>3 5 percent of 6 0 0</t>
  </si>
  <si>
    <t>35 percent of 500</t>
  </si>
  <si>
    <t>3 5 percent of 5 0 0</t>
  </si>
  <si>
    <t>35 percent of 1200</t>
  </si>
  <si>
    <t>3 5 percent of 1 2 0 0</t>
  </si>
  <si>
    <t>35 percent of 8000</t>
  </si>
  <si>
    <t>3 5 percent of 8 0 0 0</t>
  </si>
  <si>
    <t>35 percent of 240</t>
  </si>
  <si>
    <t>35 percent of 180</t>
  </si>
  <si>
    <t>3 5 percent of 1 8 0</t>
  </si>
  <si>
    <t>35 percent of 80</t>
  </si>
  <si>
    <t>3 5 percent of 8 0</t>
  </si>
  <si>
    <t>35 percent of 2400</t>
  </si>
  <si>
    <t>3 5 percent of 2 4 0 0</t>
  </si>
  <si>
    <t>35 percent of 4000</t>
  </si>
  <si>
    <t>3 5  percent of 4 0 0 0</t>
  </si>
  <si>
    <t>35 percent of 3000</t>
  </si>
  <si>
    <t>3 5 percent of 3 0 0 0</t>
  </si>
  <si>
    <t>65 percent of 120</t>
  </si>
  <si>
    <t>6 5 percent of 1 2 0</t>
  </si>
  <si>
    <t>65 percent of 160</t>
  </si>
  <si>
    <t>6 5 percent of 1 6 0</t>
  </si>
  <si>
    <t>65 percent of 140</t>
  </si>
  <si>
    <t>6 5 percent of 1 4 0</t>
  </si>
  <si>
    <t>65 percent of 300</t>
  </si>
  <si>
    <t>6 5 percent of 3 0 0</t>
  </si>
  <si>
    <t>65 percent of 80</t>
  </si>
  <si>
    <t>6 5 percent of 8 0</t>
  </si>
  <si>
    <t>65 percent of 400</t>
  </si>
  <si>
    <t>6 5 percent of 4 0 0</t>
  </si>
  <si>
    <t>65 percent of 4000</t>
  </si>
  <si>
    <t>6 5  percent of 4 0 0 0</t>
  </si>
  <si>
    <t>65 percent of 1200</t>
  </si>
  <si>
    <t>6 5  percent of 1 2 0 0</t>
  </si>
  <si>
    <t>55 percent of 600</t>
  </si>
  <si>
    <t>5 5 percent of 6 0 0</t>
  </si>
  <si>
    <t>55 percent of 180</t>
  </si>
  <si>
    <t>5 5 percent of 1 8 0</t>
  </si>
  <si>
    <t>55 percent of 260</t>
  </si>
  <si>
    <t>5 5 percent of 2 6 0</t>
  </si>
  <si>
    <t>55 percent of 500</t>
  </si>
  <si>
    <t>5 5 percent of 5 0 0</t>
  </si>
  <si>
    <t>55 percent of 6000</t>
  </si>
  <si>
    <t>5 5 percent of 6 0 0 0</t>
  </si>
  <si>
    <t>55 percent of 2500</t>
  </si>
  <si>
    <t>5 5 percent of 2 5 0 0</t>
  </si>
  <si>
    <t>45 percent of 600</t>
  </si>
  <si>
    <t>4 5 percent of 6 0 0</t>
  </si>
  <si>
    <t>45 percent of 140</t>
  </si>
  <si>
    <t>4 5 percent of 1 4 0</t>
  </si>
  <si>
    <t>45 percent of 340</t>
  </si>
  <si>
    <t>4 5 percent of 3 4 0</t>
  </si>
  <si>
    <t>45 percent of 700</t>
  </si>
  <si>
    <t>4 5 percent of 7 0 0</t>
  </si>
  <si>
    <t>45 percent of 5000</t>
  </si>
  <si>
    <t>4 5 percent of 5 0 0 0</t>
  </si>
  <si>
    <t>45 percent of 4200</t>
  </si>
  <si>
    <t>4 5 percent of 4 2 0 0</t>
  </si>
  <si>
    <t>45 percent of 1400</t>
  </si>
  <si>
    <t>4 5 percent of 1 4 0 0</t>
  </si>
  <si>
    <t>45 percent of 5800</t>
  </si>
  <si>
    <t>4 5 percent of 5 8 0 0</t>
  </si>
  <si>
    <t>45 percent of 1900</t>
  </si>
  <si>
    <t>4 5 percent of 1 9 0 0</t>
  </si>
  <si>
    <t>15 percent of 620</t>
  </si>
  <si>
    <t>1 5 percent of 6 2 0</t>
  </si>
  <si>
    <t>15 percent of 460</t>
  </si>
  <si>
    <t>1 5 percent of 4 6 0</t>
  </si>
  <si>
    <t>15 percent of 2440</t>
  </si>
  <si>
    <t>1 5 percent of 2 4 4 0</t>
  </si>
  <si>
    <t>15 percent of 2600</t>
  </si>
  <si>
    <t>1 5 percent of 2 6 0 0</t>
  </si>
  <si>
    <t>85 percent of 3000</t>
  </si>
  <si>
    <t>8 5 percent of 3 0 0 0</t>
  </si>
  <si>
    <t>85 percent of 2600</t>
  </si>
  <si>
    <t>8 5 percent of 2 6 0 0</t>
  </si>
  <si>
    <t>85 percent of 1400</t>
  </si>
  <si>
    <t>8 5 percent of 1 4 0 0</t>
  </si>
  <si>
    <t>3 5 percent of 2 4 0</t>
  </si>
  <si>
    <t>25 percent of 6000</t>
  </si>
  <si>
    <t>25 percent of 240</t>
  </si>
  <si>
    <t>75 percent of 240</t>
  </si>
  <si>
    <t>50 percent of 190</t>
  </si>
  <si>
    <t>75 percent of 160</t>
  </si>
  <si>
    <t>2 5 percent of 2 4 0</t>
  </si>
  <si>
    <t>7 5 percent of 2 4 0</t>
  </si>
  <si>
    <t>5 0 percent of 1 9 0</t>
  </si>
  <si>
    <t>7 5 percent of 1 6 0</t>
  </si>
  <si>
    <t>2 5 percent of 6 0 0 0</t>
  </si>
  <si>
    <t xml:space="preserve"> NEW - Percentage - 25% 50% 75%</t>
  </si>
  <si>
    <t>Mülakat Süreçleri:</t>
  </si>
  <si>
    <t>https://drive.google.com/drive/folders/1nQqGMC9V53bgz6CDmHSKO-cmHD5CSLme?usp=sharing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</si>
</sst>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1" x14ac:knownFonts="1">
    <font>
      <sz val="10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8"/>
      <color theme="1"/>
      <name val="Arial"/>
      <family val="2"/>
      <scheme val="minor"/>
    </font>
    <font>
      <sz val="18"/>
      <color theme="3"/>
      <name val="Arial"/>
      <family val="2"/>
      <scheme val="maj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6500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i/>
      <sz val="11"/>
      <color rgb="FF7F7F7F"/>
      <name val="Arial"/>
      <family val="2"/>
      <scheme val="minor"/>
    </font>
    <font>
      <sz val="11"/>
      <color theme="0"/>
      <name val="Arial"/>
      <family val="2"/>
      <scheme val="minor"/>
    </font>
    <font>
      <b/>
      <sz val="12"/>
      <color theme="1"/>
      <name val="Arial"/>
      <family val="2"/>
      <scheme val="minor"/>
    </font>
    <font>
      <u/>
      <sz val="10"/>
      <color theme="3"/>
      <name val="Arial"/>
      <family val="2"/>
      <scheme val="minor"/>
    </font>
    <font>
      <sz val="22"/>
      <color theme="3"/>
      <name val="Arial"/>
      <family val="2"/>
      <scheme val="minor"/>
    </font>
    <font>
      <sz val="10"/>
      <color theme="0"/>
      <name val="Arial"/>
      <family val="2"/>
      <scheme val="minor"/>
    </font>
    <font>
      <sz val="10"/>
      <color theme="4" tint="0.59999389629810485"/>
      <name val="Arial"/>
      <family val="2"/>
      <scheme val="minor"/>
    </font>
    <font>
      <sz val="10"/>
      <name val="Arial"/>
      <family val="2"/>
      <scheme val="minor"/>
    </font>
    <font>
      <b/>
      <sz val="10"/>
      <color theme="0"/>
      <name val="Arial"/>
      <family val="2"/>
      <scheme val="minor"/>
    </font>
    <font>
      <b/>
      <sz val="10"/>
      <name val="Arial"/>
      <family val="2"/>
      <scheme val="minor"/>
    </font>
    <font>
      <sz val="10"/>
      <color theme="0" tint="-0.14999847407452621"/>
      <name val="Arial"/>
      <family val="2"/>
      <scheme val="minor"/>
    </font>
    <font>
      <b/>
      <i/>
      <sz val="10"/>
      <color theme="1"/>
      <name val="Arial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auto="1"/>
      </bottom>
      <diagonal/>
    </border>
    <border>
      <left/>
      <right/>
      <top style="hair">
        <color theme="2" tint="0.59996337778862885"/>
      </top>
      <bottom style="hair">
        <color theme="2" tint="0.59996337778862885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6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0" fillId="2" borderId="0" applyNumberFormat="0" applyBorder="0" applyAlignment="0" applyProtection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3" fillId="5" borderId="4" applyNumberFormat="0" applyAlignment="0" applyProtection="0"/>
    <xf numFmtId="0" fontId="14" fillId="6" borderId="5" applyNumberFormat="0" applyAlignment="0" applyProtection="0"/>
    <xf numFmtId="0" fontId="15" fillId="6" borderId="4" applyNumberFormat="0" applyAlignment="0" applyProtection="0"/>
    <xf numFmtId="0" fontId="16" fillId="0" borderId="6" applyNumberFormat="0" applyFill="0" applyAlignment="0" applyProtection="0"/>
    <xf numFmtId="0" fontId="17" fillId="7" borderId="7" applyNumberFormat="0" applyAlignment="0" applyProtection="0"/>
    <xf numFmtId="0" fontId="18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9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20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0" fillId="16" borderId="0" applyNumberFormat="0" applyBorder="0" applyAlignment="0" applyProtection="0"/>
    <xf numFmtId="0" fontId="20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0" fillId="20" borderId="0" applyNumberFormat="0" applyBorder="0" applyAlignment="0" applyProtection="0"/>
    <xf numFmtId="0" fontId="20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0" fillId="24" borderId="0" applyNumberFormat="0" applyBorder="0" applyAlignment="0" applyProtection="0"/>
    <xf numFmtId="0" fontId="20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0" fillId="28" borderId="0" applyNumberFormat="0" applyBorder="0" applyAlignment="0" applyProtection="0"/>
    <xf numFmtId="0" fontId="20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0" fillId="32" borderId="0" applyNumberFormat="0" applyBorder="0" applyAlignment="0" applyProtection="0"/>
    <xf numFmtId="0" fontId="22" fillId="0" borderId="0" applyNumberFormat="0" applyFill="0" applyBorder="0" applyAlignment="0" applyProtection="0"/>
    <xf numFmtId="0" fontId="4" fillId="0" borderId="10" applyNumberFormat="0" applyFill="0" applyAlignment="0"/>
    <xf numFmtId="0" fontId="3" fillId="0" borderId="11" applyNumberFormat="0" applyFill="0" applyAlignment="0"/>
    <xf numFmtId="0" fontId="4" fillId="0" borderId="12" applyNumberFormat="0" applyFill="0" applyAlignment="0"/>
    <xf numFmtId="0" fontId="23" fillId="0" borderId="0" applyNumberFormat="0" applyFill="0" applyBorder="0" applyAlignment="0"/>
    <xf numFmtId="0" fontId="21" fillId="0" borderId="0" applyNumberFormat="0" applyFill="0" applyBorder="0" applyAlignment="0"/>
    <xf numFmtId="0" fontId="4" fillId="0" borderId="0" applyNumberFormat="0" applyFill="0" applyBorder="0" applyAlignment="0"/>
    <xf numFmtId="0" fontId="5" fillId="33" borderId="0" applyNumberFormat="0" applyBorder="0" applyAlignment="0"/>
  </cellStyleXfs>
  <cellXfs count="24">
    <xf numFmtId="0" fontId="0" fillId="0" borderId="0" xfId="0"/>
    <xf numFmtId="0" fontId="0" fillId="34" borderId="0" xfId="0" applyFill="1"/>
    <xf numFmtId="0" fontId="0" fillId="35" borderId="0" xfId="0" applyFill="1"/>
    <xf numFmtId="0" fontId="0" fillId="36" borderId="0" xfId="0" applyFill="1"/>
    <xf numFmtId="2" fontId="0" fillId="0" borderId="0" xfId="0" applyNumberFormat="1"/>
    <xf numFmtId="1" fontId="0" fillId="0" borderId="0" xfId="0" applyNumberFormat="1"/>
    <xf numFmtId="0" fontId="24" fillId="0" borderId="0" xfId="0" applyFont="1"/>
    <xf numFmtId="2" fontId="24" fillId="0" borderId="0" xfId="0" applyNumberFormat="1" applyFont="1"/>
    <xf numFmtId="0" fontId="0" fillId="37" borderId="0" xfId="0" applyFill="1"/>
    <xf numFmtId="0" fontId="25" fillId="38" borderId="0" xfId="0" applyFont="1" applyFill="1"/>
    <xf numFmtId="0" fontId="0" fillId="0" borderId="0" xfId="0" applyAlignment="1">
      <alignment horizontal="center"/>
    </xf>
    <xf numFmtId="0" fontId="27" fillId="39" borderId="0" xfId="0" applyFont="1" applyFill="1" applyAlignment="1">
      <alignment horizontal="center"/>
    </xf>
    <xf numFmtId="0" fontId="26" fillId="38" borderId="0" xfId="0" applyFont="1" applyFill="1" applyAlignment="1">
      <alignment horizontal="center"/>
    </xf>
    <xf numFmtId="0" fontId="29" fillId="40" borderId="0" xfId="0" applyFont="1" applyFill="1" applyAlignment="1">
      <alignment horizontal="center"/>
    </xf>
    <xf numFmtId="0" fontId="0" fillId="0" borderId="0" xfId="0" applyAlignment="1"/>
    <xf numFmtId="0" fontId="25" fillId="38" borderId="0" xfId="0" applyFont="1" applyFill="1" applyAlignment="1"/>
    <xf numFmtId="0" fontId="25" fillId="0" borderId="0" xfId="0" applyFont="1" applyAlignment="1"/>
    <xf numFmtId="0" fontId="25" fillId="0" borderId="0" xfId="0" applyFont="1"/>
    <xf numFmtId="0" fontId="29" fillId="40" borderId="0" xfId="0" applyFont="1" applyFill="1" applyAlignment="1"/>
    <xf numFmtId="0" fontId="29" fillId="40" borderId="0" xfId="0" applyFont="1" applyFill="1"/>
    <xf numFmtId="0" fontId="28" fillId="40" borderId="0" xfId="0" applyFont="1" applyFill="1" applyAlignment="1">
      <alignment horizontal="center"/>
    </xf>
    <xf numFmtId="0" fontId="24" fillId="36" borderId="0" xfId="0" applyFont="1" applyFill="1" applyAlignment="1">
      <alignment horizontal="center"/>
    </xf>
    <xf numFmtId="0" fontId="30" fillId="0" borderId="0" xfId="0" applyFont="1"/>
    <xf numFmtId="0" fontId="22" fillId="0" borderId="0" xfId="42"/>
  </cellXfs>
  <cellStyles count="50">
    <cellStyle name="20% - Accent1" xfId="19" builtinId="30" hidden="1"/>
    <cellStyle name="20% - Accent2" xfId="23" builtinId="34" hidden="1"/>
    <cellStyle name="20% - Accent3" xfId="27" builtinId="38" hidden="1"/>
    <cellStyle name="20% - Accent4" xfId="31" builtinId="42" hidden="1"/>
    <cellStyle name="20% - Accent5" xfId="35" builtinId="46" hidden="1"/>
    <cellStyle name="20% - Accent6" xfId="39" builtinId="50" hidden="1"/>
    <cellStyle name="40% - Accent1" xfId="20" builtinId="31" hidden="1"/>
    <cellStyle name="40% - Accent2" xfId="24" builtinId="35" hidden="1"/>
    <cellStyle name="40% - Accent3" xfId="28" builtinId="39" hidden="1"/>
    <cellStyle name="40% - Accent4" xfId="32" builtinId="43" hidden="1"/>
    <cellStyle name="40% - Accent5" xfId="36" builtinId="47" hidden="1"/>
    <cellStyle name="40% - Accent6" xfId="40" builtinId="51" hidden="1"/>
    <cellStyle name="60% - Accent1" xfId="21" builtinId="32" hidden="1"/>
    <cellStyle name="60% - Accent2" xfId="25" builtinId="36" hidden="1"/>
    <cellStyle name="60% - Accent3" xfId="29" builtinId="40" hidden="1"/>
    <cellStyle name="60% - Accent4" xfId="33" builtinId="44" hidden="1"/>
    <cellStyle name="60% - Accent5" xfId="37" builtinId="48" hidden="1"/>
    <cellStyle name="60% - Accent6" xfId="41" builtinId="52" hidden="1"/>
    <cellStyle name="Accent1" xfId="18" builtinId="29" hidden="1"/>
    <cellStyle name="Accent2" xfId="22" builtinId="33" hidden="1"/>
    <cellStyle name="Accent3" xfId="26" builtinId="37" hidden="1"/>
    <cellStyle name="Accent4" xfId="30" builtinId="41" hidden="1"/>
    <cellStyle name="Accent5" xfId="34" builtinId="45" hidden="1"/>
    <cellStyle name="Accent6" xfId="38" builtinId="49" hidden="1"/>
    <cellStyle name="Bad" xfId="7" builtinId="27" hidden="1"/>
    <cellStyle name="Calculation" xfId="11" builtinId="22" hidden="1"/>
    <cellStyle name="Check Cell" xfId="13" builtinId="23" hidden="1"/>
    <cellStyle name="Explanatory Text" xfId="16" builtinId="53" hidden="1"/>
    <cellStyle name="Good" xfId="6" builtinId="26" hidden="1"/>
    <cellStyle name="Heading 1" xfId="2" builtinId="16" hidden="1"/>
    <cellStyle name="Heading 2" xfId="3" builtinId="17" hidden="1"/>
    <cellStyle name="Heading 3" xfId="4" builtinId="18" hidden="1"/>
    <cellStyle name="Heading 4" xfId="5" builtinId="19" hidden="1"/>
    <cellStyle name="Headline 1" xfId="46"/>
    <cellStyle name="Headline 2" xfId="47"/>
    <cellStyle name="Headline 3" xfId="48"/>
    <cellStyle name="Hyperlink" xfId="42" builtinId="8" customBuiltin="1"/>
    <cellStyle name="Information" xfId="49"/>
    <cellStyle name="Input" xfId="9" builtinId="20" hidden="1"/>
    <cellStyle name="Linked Cell" xfId="12" builtinId="24" hidden="1"/>
    <cellStyle name="Neutral" xfId="8" builtinId="28" hidden="1"/>
    <cellStyle name="Normal" xfId="0" builtinId="0" customBuiltin="1"/>
    <cellStyle name="Note" xfId="15" builtinId="10" hidden="1"/>
    <cellStyle name="Output" xfId="10" builtinId="21" hidden="1"/>
    <cellStyle name="Table content" xfId="44"/>
    <cellStyle name="Table header" xfId="43"/>
    <cellStyle name="Table result" xfId="45"/>
    <cellStyle name="Title" xfId="1" builtinId="15" hidden="1"/>
    <cellStyle name="Total" xfId="17" builtinId="25" hidden="1"/>
    <cellStyle name="Warning Text" xfId="14" builtinId="11" hidden="1"/>
  </cellStyles>
  <dxfs count="360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border diagonalUp="0" diagonalDown="0">
        <left/>
        <right/>
        <top/>
        <bottom style="thin">
          <color theme="1"/>
        </bottom>
        <vertical/>
        <horizontal/>
      </border>
    </dxf>
    <dxf>
      <border diagonalUp="0" diagonalDown="0">
        <left/>
        <right/>
        <top/>
        <bottom style="hair">
          <color theme="2" tint="0.59996337778862885"/>
        </bottom>
        <vertical/>
        <horizontal style="hair">
          <color theme="2" tint="0.59996337778862885"/>
        </horizontal>
      </border>
    </dxf>
  </dxfs>
  <tableStyles count="1" defaultTableStyle="TableStyleMedium2" defaultPivotStyle="PivotStyleLight16">
    <tableStyle name="Standard" pivot="0" count="2">
      <tableStyleElement type="wholeTable" dxfId="359"/>
      <tableStyleElement type="headerRow" dxfId="358"/>
    </tableStyle>
  </tableStyles>
  <colors>
    <mruColors>
      <color rgb="FFF9B200"/>
      <color rgb="FFFFD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104774</xdr:colOff>
      <xdr:row>1</xdr:row>
      <xdr:rowOff>104775</xdr:rowOff>
    </xdr:from>
    <xdr:to>
      <xdr:col>14</xdr:col>
      <xdr:colOff>38099</xdr:colOff>
      <xdr:row>28</xdr:row>
      <xdr:rowOff>134500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9624" y="266700"/>
          <a:ext cx="4200525" cy="4401700"/>
        </a:xfrm>
        <a:prstGeom prst="rect">
          <a:avLst/>
        </a:prstGeom>
        <a:ln w="38100">
          <a:solidFill>
            <a:srgbClr val="002060"/>
          </a:solidFill>
        </a:ln>
      </xdr:spPr>
    </xdr:pic>
    <xdr:clientData/>
  </xdr:twoCellAnchor>
  <xdr:twoCellAnchor editAs="oneCell">
    <xdr:from>
      <xdr:col>14</xdr:col>
      <xdr:colOff>247651</xdr:colOff>
      <xdr:row>1</xdr:row>
      <xdr:rowOff>104775</xdr:rowOff>
    </xdr:from>
    <xdr:to>
      <xdr:col>24</xdr:col>
      <xdr:colOff>523875</xdr:colOff>
      <xdr:row>34</xdr:row>
      <xdr:rowOff>4900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29701" y="266700"/>
          <a:ext cx="6372224" cy="5243650"/>
        </a:xfrm>
        <a:prstGeom prst="rect">
          <a:avLst/>
        </a:prstGeom>
        <a:ln w="38100">
          <a:solidFill>
            <a:srgbClr val="002060"/>
          </a:solidFill>
        </a:ln>
      </xdr:spPr>
    </xdr:pic>
    <xdr:clientData/>
  </xdr:twoCellAnchor>
  <xdr:twoCellAnchor editAs="oneCell">
    <xdr:from>
      <xdr:col>7</xdr:col>
      <xdr:colOff>85726</xdr:colOff>
      <xdr:row>35</xdr:row>
      <xdr:rowOff>76200</xdr:rowOff>
    </xdr:from>
    <xdr:to>
      <xdr:col>17</xdr:col>
      <xdr:colOff>225268</xdr:colOff>
      <xdr:row>69</xdr:row>
      <xdr:rowOff>58027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00576" y="5743575"/>
          <a:ext cx="6235542" cy="5487277"/>
        </a:xfrm>
        <a:prstGeom prst="rect">
          <a:avLst/>
        </a:prstGeom>
        <a:ln w="38100">
          <a:solidFill>
            <a:srgbClr val="002060"/>
          </a:solidFill>
        </a:ln>
      </xdr:spPr>
    </xdr:pic>
    <xdr:clientData/>
  </xdr:twoCellAnchor>
  <xdr:twoCellAnchor editAs="oneCell">
    <xdr:from>
      <xdr:col>17</xdr:col>
      <xdr:colOff>466725</xdr:colOff>
      <xdr:row>39</xdr:row>
      <xdr:rowOff>95250</xdr:rowOff>
    </xdr:from>
    <xdr:to>
      <xdr:col>27</xdr:col>
      <xdr:colOff>419944</xdr:colOff>
      <xdr:row>64</xdr:row>
      <xdr:rowOff>29131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77575" y="6410325"/>
          <a:ext cx="6049219" cy="3982006"/>
        </a:xfrm>
        <a:prstGeom prst="rect">
          <a:avLst/>
        </a:prstGeom>
        <a:ln w="38100">
          <a:solidFill>
            <a:srgbClr val="002060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GfK_BendefClr">
  <a:themeElements>
    <a:clrScheme name="GfK Group">
      <a:dk1>
        <a:srgbClr val="000000"/>
      </a:dk1>
      <a:lt1>
        <a:srgbClr val="FFFFFF"/>
      </a:lt1>
      <a:dk2>
        <a:srgbClr val="E55A00"/>
      </a:dk2>
      <a:lt2>
        <a:srgbClr val="8E8581"/>
      </a:lt2>
      <a:accent1>
        <a:srgbClr val="264283"/>
      </a:accent1>
      <a:accent2>
        <a:srgbClr val="007DC3"/>
      </a:accent2>
      <a:accent3>
        <a:srgbClr val="A2AD00"/>
      </a:accent3>
      <a:accent4>
        <a:srgbClr val="C1BB00"/>
      </a:accent4>
      <a:accent5>
        <a:srgbClr val="9B1F23"/>
      </a:accent5>
      <a:accent6>
        <a:srgbClr val="DC291E"/>
      </a:accent6>
      <a:hlink>
        <a:srgbClr val="A2AD00"/>
      </a:hlink>
      <a:folHlink>
        <a:srgbClr val="C1BB00"/>
      </a:folHlink>
    </a:clrScheme>
    <a:fontScheme name="Arial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bg1"/>
        </a:solidFill>
        <a:ln w="6350">
          <a:solidFill>
            <a:srgbClr val="D2CBC9"/>
          </a:solidFill>
        </a:ln>
      </a:spPr>
      <a:bodyPr rot="0" spcFirstLastPara="0" vertOverflow="clip" horzOverflow="clip" vert="horz" wrap="square" lIns="91440" tIns="45720" rIns="91440" bIns="45720" numCol="1" spcCol="0" rtlCol="0" fromWordArt="0" anchor="t" anchorCtr="0" forceAA="0" compatLnSpc="1">
        <a:prstTxWarp prst="textNoShape">
          <a:avLst/>
        </a:prstTxWarp>
        <a:noAutofit/>
      </a:bodyPr>
      <a:lstStyle>
        <a:defPPr marL="0" indent="0" algn="l">
          <a:spcBef>
            <a:spcPts val="300"/>
          </a:spcBef>
          <a:buFont typeface="Courier New" pitchFamily="49" charset="0"/>
          <a:buNone/>
          <a:defRPr sz="1600" dirty="0" smtClean="0">
            <a:solidFill>
              <a:schemeClr val="tx1"/>
            </a:solidFill>
            <a:latin typeface="Arial" pitchFamily="34" charset="0"/>
            <a:cs typeface="Arial" pitchFamily="34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6350">
          <a:solidFill>
            <a:srgbClr val="D2CBC9"/>
          </a:solidFill>
          <a:tailEnd type="non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 bwMode="gray">
        <a:noFill/>
        <a:ln>
          <a:noFill/>
        </a:ln>
      </a:spPr>
      <a:bodyPr vertOverflow="clip" horzOverflow="clip" wrap="square" lIns="0" tIns="0" rIns="0" bIns="0" rtlCol="0" anchor="t">
        <a:spAutoFit/>
      </a:bodyPr>
      <a:lstStyle>
        <a:defPPr>
          <a:spcBef>
            <a:spcPts val="300"/>
          </a:spcBef>
          <a:defRPr sz="1000" dirty="0" err="1" smtClean="0">
            <a:latin typeface="Arial" pitchFamily="34" charset="0"/>
            <a:cs typeface="Arial" pitchFamily="34" charset="0"/>
          </a:defRPr>
        </a:defPPr>
      </a:lstStyle>
    </a:txDef>
  </a:objectDefaults>
  <a:extraClrSchemeLst/>
  <a:custClrLst>
    <a:custClr name="dark yellow 100%">
      <a:srgbClr val="F0AB00"/>
    </a:custClr>
    <a:custClr name="light yellow 100%">
      <a:srgbClr val="F6D50F"/>
    </a:custClr>
    <a:custClr name="warm grey 100%">
      <a:srgbClr val="8E8581"/>
    </a:custClr>
    <a:custClr name="GfK orange">
      <a:srgbClr val="E55A00"/>
    </a:custClr>
    <a:custClr name="dark blue 100%">
      <a:srgbClr val="264283"/>
    </a:custClr>
    <a:custClr name="light blue 100%">
      <a:srgbClr val="007DC3"/>
    </a:custClr>
    <a:custClr name="dark green 100%">
      <a:srgbClr val="A2AD00"/>
    </a:custClr>
    <a:custClr name="light green 100%">
      <a:srgbClr val="C1BB00"/>
    </a:custClr>
    <a:custClr name="dark red 100%">
      <a:srgbClr val="9B1F23"/>
    </a:custClr>
    <a:custClr name="light red 100%">
      <a:srgbClr val="DC291E"/>
    </a:custClr>
    <a:custClr name="dark yellow 80%">
      <a:srgbClr val="FCC000"/>
    </a:custClr>
    <a:custClr name="light yellow 80%">
      <a:srgbClr val="FFDD44"/>
    </a:custClr>
    <a:custClr name="warm grey 80%">
      <a:srgbClr val="A79D98"/>
    </a:custClr>
    <a:custClr>
      <a:srgbClr val="FFFFFF"/>
    </a:custClr>
    <a:custClr name="dark blue 80%">
      <a:srgbClr val="405B9B"/>
    </a:custClr>
    <a:custClr name="light blue 80%">
      <a:srgbClr val="389DD7"/>
    </a:custClr>
    <a:custClr name="dark green 80%">
      <a:srgbClr val="B4BE46"/>
    </a:custClr>
    <a:custClr name="light green 80%">
      <a:srgbClr val="D7CF42"/>
    </a:custClr>
    <a:custClr name="dark red 80%">
      <a:srgbClr val="C34A3A"/>
    </a:custClr>
    <a:custClr name="light red 80%">
      <a:srgbClr val="E94F35"/>
    </a:custClr>
    <a:custClr name="dark yellow 60%">
      <a:srgbClr val="FED07A"/>
    </a:custClr>
    <a:custClr name="light yellow 60%">
      <a:srgbClr val="FFE67F"/>
    </a:custClr>
    <a:custClr name="warm grey 60%">
      <a:srgbClr val="BCB4B0"/>
    </a:custClr>
    <a:custClr>
      <a:srgbClr val="FFFFFF"/>
    </a:custClr>
    <a:custClr name="dark blue 60%">
      <a:srgbClr val="6E7EB3"/>
    </a:custClr>
    <a:custClr name="light blue 60%">
      <a:srgbClr val="7DB4E2"/>
    </a:custClr>
    <a:custClr name="dark green 60%">
      <a:srgbClr val="C6CE79"/>
    </a:custClr>
    <a:custClr name="light green 60%">
      <a:srgbClr val="E2DA7A"/>
    </a:custClr>
    <a:custClr name="dark red 60%">
      <a:srgbClr val="D27863"/>
    </a:custClr>
    <a:custClr name="light red 60%">
      <a:srgbClr val="F08262"/>
    </a:custClr>
    <a:custClr name="dark yellow 40%">
      <a:srgbClr val="FFE0A9"/>
    </a:custClr>
    <a:custClr name="light yellow 40%">
      <a:srgbClr val="FFEEAF"/>
    </a:custClr>
    <a:custClr name="warm grey 40%">
      <a:srgbClr val="D2CBC9"/>
    </a:custClr>
    <a:custClr>
      <a:srgbClr val="FFFFFF"/>
    </a:custClr>
    <a:custClr name="dark blue 40%">
      <a:srgbClr val="9EA5CD"/>
    </a:custClr>
    <a:custClr name="light blue 40%">
      <a:srgbClr val="ADCDED"/>
    </a:custClr>
    <a:custClr name="dark green 40%">
      <a:srgbClr val="D8DEA8"/>
    </a:custClr>
    <a:custClr name="light green 40%">
      <a:srgbClr val="ECE6AA"/>
    </a:custClr>
    <a:custClr name="dark red 40%">
      <a:srgbClr val="E1A693"/>
    </a:custClr>
    <a:custClr name="light red 40%">
      <a:srgbClr val="F6AF95"/>
    </a:custClr>
  </a:custClr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rive.google.com/drive/folders/1nQqGMC9V53bgz6CDmHSKO-cmHD5CSLme?usp=shari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H11"/>
  <sheetViews>
    <sheetView workbookViewId="0">
      <selection sqref="A1:H11"/>
    </sheetView>
  </sheetViews>
  <sheetFormatPr defaultRowHeight="12.75" x14ac:dyDescent="0.2"/>
  <cols>
    <col min="1" max="1" width="22.28515625" customWidth="1"/>
    <col min="2" max="3" width="1.140625" customWidth="1"/>
    <col min="4" max="6" width="1.28515625" customWidth="1"/>
    <col min="7" max="7" width="1.5703125" customWidth="1"/>
  </cols>
  <sheetData>
    <row r="1" spans="1:8" x14ac:dyDescent="0.2">
      <c r="A1" s="9" t="str">
        <f ca="1">D1&amp;" plus "&amp;E1</f>
        <v>16 plus 63</v>
      </c>
      <c r="B1" s="6" t="str">
        <f ca="1">LEFT(A1,1)&amp;" "&amp;RIGHT(LEFT(A1,2),1)&amp;" plus "&amp;LEFT(RIGHT(A1,2))&amp;" "&amp;RIGHT(A1,1)</f>
        <v>1 6 plus 6 3</v>
      </c>
      <c r="C1" s="6"/>
      <c r="D1" s="6">
        <f ca="1">RANDBETWEEN(11,99)</f>
        <v>16</v>
      </c>
      <c r="E1" s="6">
        <f ca="1">RANDBETWEEN(11,99)</f>
        <v>63</v>
      </c>
      <c r="F1" s="6">
        <f ca="1">D1+E1</f>
        <v>79</v>
      </c>
      <c r="G1" s="6"/>
    </row>
    <row r="2" spans="1:8" x14ac:dyDescent="0.2">
      <c r="A2" s="8"/>
      <c r="B2" s="6"/>
      <c r="C2" s="6"/>
      <c r="D2" s="6"/>
      <c r="E2" s="6"/>
      <c r="F2" s="6"/>
      <c r="G2" s="6"/>
      <c r="H2" t="b">
        <f ca="1">A2=F1</f>
        <v>0</v>
      </c>
    </row>
    <row r="3" spans="1:8" x14ac:dyDescent="0.2">
      <c r="B3" s="6"/>
      <c r="C3" s="6"/>
      <c r="D3" s="6"/>
      <c r="E3" s="6"/>
      <c r="F3" s="6"/>
      <c r="G3" s="6"/>
    </row>
    <row r="4" spans="1:8" x14ac:dyDescent="0.2">
      <c r="A4" s="9" t="str">
        <f ca="1">D4&amp;" times "&amp;E4</f>
        <v>13 times 6</v>
      </c>
      <c r="B4" s="6" t="str">
        <f ca="1">LEFT(A4,1)&amp;" "&amp;RIGHT(LEFT(A4,2),1)&amp;" times "&amp;LEFT(RIGHT(A4,2))&amp;" "&amp;RIGHT(A4,1)</f>
        <v>1 3 times   6</v>
      </c>
      <c r="C4" s="6"/>
      <c r="D4" s="6">
        <f ca="1">RANDBETWEEN(2,19)</f>
        <v>13</v>
      </c>
      <c r="E4" s="6">
        <f ca="1">RANDBETWEEN(2,19)</f>
        <v>6</v>
      </c>
      <c r="F4" s="6">
        <f ca="1">D4*E4</f>
        <v>78</v>
      </c>
      <c r="G4" s="6"/>
    </row>
    <row r="5" spans="1:8" x14ac:dyDescent="0.2">
      <c r="A5" s="8"/>
      <c r="B5" s="6"/>
      <c r="C5" s="6"/>
      <c r="D5" s="6"/>
      <c r="E5" s="6"/>
      <c r="F5" s="6"/>
      <c r="G5" s="6"/>
      <c r="H5" t="b">
        <f ca="1">A5=F4</f>
        <v>0</v>
      </c>
    </row>
    <row r="6" spans="1:8" x14ac:dyDescent="0.2">
      <c r="B6" s="6"/>
      <c r="C6" s="6"/>
      <c r="D6" s="6"/>
      <c r="E6" s="6"/>
      <c r="F6" s="6"/>
      <c r="G6" s="6"/>
    </row>
    <row r="7" spans="1:8" x14ac:dyDescent="0.2">
      <c r="A7" s="9" t="str">
        <f ca="1">D7&amp;" divided by "&amp;E7</f>
        <v>99 divided by 3</v>
      </c>
      <c r="B7" s="6" t="str">
        <f ca="1">LEFT(A7,1)&amp;" "&amp;RIGHT(LEFT(A7,2),1)&amp;" "&amp;RIGHT(LEFT(A7,3),1)&amp;" divided by "&amp;LEFT(RIGHT(A7,2))&amp;" "&amp;RIGHT(A7,1)</f>
        <v>9 9   divided by   3</v>
      </c>
      <c r="C7" s="6"/>
      <c r="D7" s="6">
        <f ca="1">E7*F7</f>
        <v>99</v>
      </c>
      <c r="E7" s="6">
        <f ca="1">RANDBETWEEN(2,9)</f>
        <v>3</v>
      </c>
      <c r="F7" s="6">
        <f ca="1">RANDBETWEEN(11,99)</f>
        <v>33</v>
      </c>
      <c r="G7" s="6"/>
    </row>
    <row r="8" spans="1:8" x14ac:dyDescent="0.2">
      <c r="A8" s="8"/>
      <c r="B8" s="6"/>
      <c r="C8" s="6"/>
      <c r="D8" s="6"/>
      <c r="E8" s="6"/>
      <c r="F8" s="6"/>
      <c r="G8" s="6"/>
      <c r="H8" t="b">
        <f ca="1">A8=F7</f>
        <v>0</v>
      </c>
    </row>
    <row r="9" spans="1:8" x14ac:dyDescent="0.2">
      <c r="B9" s="6"/>
      <c r="C9" s="6"/>
      <c r="D9" s="6"/>
      <c r="E9" s="6"/>
      <c r="F9" s="6"/>
      <c r="G9" s="6"/>
    </row>
    <row r="10" spans="1:8" x14ac:dyDescent="0.2">
      <c r="A10" s="9" t="str">
        <f ca="1">D10&amp;" percent of "&amp;E10</f>
        <v>45 percent of 2000</v>
      </c>
      <c r="B10" s="6" t="str">
        <f ca="1">LEFT(A10,1)&amp;" "&amp;RIGHT(LEFT(A10,2),1)&amp;" percent of "&amp;LEFT(RIGHT(A10,4))&amp;" "&amp;LEFT(RIGHT(A10,3))&amp;" "&amp;LEFT(RIGHT(A10,2))&amp;" "&amp;RIGHT(A10,1)</f>
        <v>4 5 percent of 2 0 0 0</v>
      </c>
      <c r="C10" s="6"/>
      <c r="D10" s="6">
        <f ca="1">CHOOSE(RANDBETWEEN(1,12),35,45,55,65,75,85,30,40,50,60,70,80)</f>
        <v>45</v>
      </c>
      <c r="E10" s="6">
        <f ca="1">CHOOSE(RANDBETWEEN(1,2),(RANDBETWEEN(6,20)*20),(RANDBETWEEN(6,20)*200))</f>
        <v>2000</v>
      </c>
      <c r="F10" s="7">
        <f ca="1">D10*E10/100</f>
        <v>900</v>
      </c>
      <c r="G10" s="6"/>
    </row>
    <row r="11" spans="1:8" x14ac:dyDescent="0.2">
      <c r="A11" s="8"/>
      <c r="B11" s="6"/>
      <c r="C11" s="6"/>
      <c r="D11" s="6"/>
      <c r="E11" s="6"/>
      <c r="F11" s="6"/>
      <c r="G11" s="6"/>
      <c r="H11" t="b">
        <f ca="1">A11=F10</f>
        <v>0</v>
      </c>
    </row>
  </sheetData>
  <conditionalFormatting sqref="H2 H5 H8 H11">
    <cfRule type="cellIs" dxfId="357" priority="1" operator="equal">
      <formula>FALSE</formula>
    </cfRule>
    <cfRule type="cellIs" dxfId="356" priority="2" operator="equal">
      <formula>TRUE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73"/>
  <sheetViews>
    <sheetView tabSelected="1" zoomScaleNormal="100" workbookViewId="0">
      <pane ySplit="1" topLeftCell="A2" activePane="bottomLeft" state="frozen"/>
      <selection pane="bottomLeft" activeCell="A3" sqref="A3"/>
    </sheetView>
  </sheetViews>
  <sheetFormatPr defaultRowHeight="12.75" x14ac:dyDescent="0.2"/>
  <cols>
    <col min="1" max="1" width="18.85546875" style="16" customWidth="1"/>
    <col min="2" max="2" width="2.7109375" style="13" customWidth="1"/>
    <col min="3" max="3" width="2.140625" style="18" customWidth="1"/>
    <col min="4" max="4" width="8.7109375" style="13" customWidth="1"/>
    <col min="5" max="5" width="15.5703125" style="10" customWidth="1"/>
    <col min="6" max="6" width="10.5703125" style="14" customWidth="1"/>
    <col min="7" max="16384" width="9.140625" style="14"/>
  </cols>
  <sheetData>
    <row r="1" spans="1:6" x14ac:dyDescent="0.2">
      <c r="A1" s="11" t="s">
        <v>2</v>
      </c>
      <c r="B1" s="20" t="s">
        <v>5</v>
      </c>
      <c r="C1" s="20"/>
      <c r="D1" s="20"/>
      <c r="E1" s="11" t="s">
        <v>3</v>
      </c>
      <c r="F1" s="11" t="s">
        <v>4</v>
      </c>
    </row>
    <row r="3" spans="1:6" x14ac:dyDescent="0.2">
      <c r="A3" s="15" t="s">
        <v>8</v>
      </c>
      <c r="B3" s="13">
        <v>7698</v>
      </c>
      <c r="D3" s="13">
        <v>7698</v>
      </c>
      <c r="E3" s="12">
        <v>7698</v>
      </c>
      <c r="F3" s="14" t="b">
        <f>E3=D3</f>
        <v>1</v>
      </c>
    </row>
    <row r="5" spans="1:6" x14ac:dyDescent="0.2">
      <c r="A5" s="15" t="s">
        <v>8</v>
      </c>
      <c r="B5" s="13">
        <v>7875</v>
      </c>
      <c r="D5" s="13">
        <v>7875</v>
      </c>
      <c r="E5" s="12"/>
      <c r="F5" s="14" t="b">
        <f>E5=D5</f>
        <v>0</v>
      </c>
    </row>
    <row r="7" spans="1:6" x14ac:dyDescent="0.2">
      <c r="A7" s="15" t="s">
        <v>8</v>
      </c>
      <c r="B7" s="13">
        <v>4756</v>
      </c>
      <c r="D7" s="13">
        <v>4756</v>
      </c>
      <c r="E7" s="12"/>
      <c r="F7" s="14" t="b">
        <f>E7=D7</f>
        <v>0</v>
      </c>
    </row>
    <row r="9" spans="1:6" x14ac:dyDescent="0.2">
      <c r="A9" s="15" t="s">
        <v>8</v>
      </c>
      <c r="B9" s="13">
        <v>9388</v>
      </c>
      <c r="D9" s="13">
        <v>9388</v>
      </c>
      <c r="E9" s="12"/>
      <c r="F9" s="14" t="b">
        <f>E9=D9</f>
        <v>0</v>
      </c>
    </row>
    <row r="11" spans="1:6" x14ac:dyDescent="0.2">
      <c r="A11" s="15" t="s">
        <v>8</v>
      </c>
      <c r="B11" s="13">
        <v>3078</v>
      </c>
      <c r="D11" s="13">
        <v>3078</v>
      </c>
      <c r="E11" s="12"/>
      <c r="F11" s="14" t="b">
        <f>E11=D11</f>
        <v>0</v>
      </c>
    </row>
    <row r="13" spans="1:6" x14ac:dyDescent="0.2">
      <c r="A13" s="15" t="s">
        <v>8</v>
      </c>
      <c r="B13" s="13">
        <v>3163</v>
      </c>
      <c r="D13" s="13">
        <v>3163</v>
      </c>
      <c r="E13" s="12"/>
      <c r="F13" s="14" t="b">
        <f>E13=D13</f>
        <v>0</v>
      </c>
    </row>
    <row r="15" spans="1:6" x14ac:dyDescent="0.2">
      <c r="A15" s="15" t="s">
        <v>8</v>
      </c>
      <c r="B15" s="13">
        <v>8795</v>
      </c>
      <c r="D15" s="13">
        <v>8795</v>
      </c>
      <c r="E15" s="12"/>
      <c r="F15" s="14" t="b">
        <f>E15=D15</f>
        <v>0</v>
      </c>
    </row>
    <row r="17" spans="1:6" x14ac:dyDescent="0.2">
      <c r="A17" s="15" t="s">
        <v>8</v>
      </c>
      <c r="B17" s="13">
        <v>8798</v>
      </c>
      <c r="D17" s="13">
        <v>8798</v>
      </c>
      <c r="E17" s="12"/>
      <c r="F17" s="14" t="b">
        <f>E17=D17</f>
        <v>0</v>
      </c>
    </row>
    <row r="19" spans="1:6" x14ac:dyDescent="0.2">
      <c r="A19" s="15" t="s">
        <v>8</v>
      </c>
      <c r="B19" s="13">
        <v>6391</v>
      </c>
      <c r="D19" s="13">
        <v>6391</v>
      </c>
      <c r="E19" s="12"/>
      <c r="F19" s="14" t="b">
        <f>E19=D19</f>
        <v>0</v>
      </c>
    </row>
    <row r="21" spans="1:6" x14ac:dyDescent="0.2">
      <c r="A21" s="15" t="s">
        <v>8</v>
      </c>
      <c r="B21" s="13">
        <v>12186</v>
      </c>
      <c r="D21" s="13">
        <v>12186</v>
      </c>
      <c r="E21" s="12"/>
      <c r="F21" s="14" t="b">
        <f>E21=D21</f>
        <v>0</v>
      </c>
    </row>
    <row r="23" spans="1:6" x14ac:dyDescent="0.2">
      <c r="A23" s="15" t="s">
        <v>8</v>
      </c>
      <c r="B23" s="13">
        <v>10060</v>
      </c>
      <c r="D23" s="13">
        <v>10060</v>
      </c>
      <c r="E23" s="12"/>
      <c r="F23" s="14" t="b">
        <f>E23=D23</f>
        <v>0</v>
      </c>
    </row>
    <row r="25" spans="1:6" x14ac:dyDescent="0.2">
      <c r="A25" s="15" t="s">
        <v>8</v>
      </c>
      <c r="B25" s="13">
        <v>14057</v>
      </c>
      <c r="D25" s="13">
        <v>14057</v>
      </c>
      <c r="E25" s="12"/>
      <c r="F25" s="14" t="b">
        <f>E25=D25</f>
        <v>0</v>
      </c>
    </row>
    <row r="27" spans="1:6" x14ac:dyDescent="0.2">
      <c r="A27" s="15" t="s">
        <v>8</v>
      </c>
      <c r="B27" s="13">
        <v>12567</v>
      </c>
      <c r="D27" s="13">
        <v>12567</v>
      </c>
      <c r="E27" s="12"/>
      <c r="F27" s="14" t="b">
        <f>E27=D27</f>
        <v>0</v>
      </c>
    </row>
    <row r="29" spans="1:6" x14ac:dyDescent="0.2">
      <c r="A29" s="15" t="s">
        <v>8</v>
      </c>
      <c r="B29" s="13">
        <v>245824</v>
      </c>
      <c r="D29" s="13">
        <v>245824</v>
      </c>
      <c r="E29" s="12"/>
      <c r="F29" s="14" t="b">
        <f>E29=D29</f>
        <v>0</v>
      </c>
    </row>
    <row r="31" spans="1:6" x14ac:dyDescent="0.2">
      <c r="A31" s="15" t="s">
        <v>8</v>
      </c>
      <c r="B31" s="13">
        <v>956120</v>
      </c>
      <c r="D31" s="13">
        <v>956120</v>
      </c>
      <c r="E31" s="12"/>
      <c r="F31" s="14" t="b">
        <f>E31=D31</f>
        <v>0</v>
      </c>
    </row>
    <row r="33" spans="1:6" x14ac:dyDescent="0.2">
      <c r="A33" s="15" t="s">
        <v>8</v>
      </c>
      <c r="B33" s="13">
        <v>700520</v>
      </c>
      <c r="D33" s="13">
        <v>700520</v>
      </c>
      <c r="E33" s="12"/>
      <c r="F33" s="14" t="b">
        <f>E33=D33</f>
        <v>0</v>
      </c>
    </row>
    <row r="35" spans="1:6" x14ac:dyDescent="0.2">
      <c r="A35" s="15" t="s">
        <v>9</v>
      </c>
      <c r="B35" s="13" t="s">
        <v>10</v>
      </c>
      <c r="D35" s="13">
        <v>61</v>
      </c>
      <c r="E35" s="12"/>
      <c r="F35" s="14" t="b">
        <f>E35=D35</f>
        <v>0</v>
      </c>
    </row>
    <row r="37" spans="1:6" x14ac:dyDescent="0.2">
      <c r="A37" s="15" t="s">
        <v>20</v>
      </c>
      <c r="B37" s="13" t="s">
        <v>25</v>
      </c>
      <c r="D37" s="13">
        <v>54</v>
      </c>
      <c r="E37" s="12"/>
      <c r="F37" s="14" t="b">
        <f>E37=D37</f>
        <v>0</v>
      </c>
    </row>
    <row r="39" spans="1:6" x14ac:dyDescent="0.2">
      <c r="A39" s="15" t="s">
        <v>21</v>
      </c>
      <c r="B39" s="13" t="s">
        <v>26</v>
      </c>
      <c r="D39" s="13">
        <v>27</v>
      </c>
      <c r="E39" s="12"/>
      <c r="F39" s="14" t="b">
        <f>E39=D39</f>
        <v>0</v>
      </c>
    </row>
    <row r="41" spans="1:6" x14ac:dyDescent="0.2">
      <c r="A41" s="15" t="s">
        <v>22</v>
      </c>
      <c r="B41" s="13" t="s">
        <v>27</v>
      </c>
      <c r="D41" s="13">
        <v>104</v>
      </c>
      <c r="E41" s="12"/>
      <c r="F41" s="14" t="b">
        <f>E41=D41</f>
        <v>0</v>
      </c>
    </row>
    <row r="43" spans="1:6" x14ac:dyDescent="0.2">
      <c r="A43" s="15" t="s">
        <v>23</v>
      </c>
      <c r="B43" s="13" t="s">
        <v>28</v>
      </c>
      <c r="D43" s="13">
        <v>101</v>
      </c>
      <c r="E43" s="12"/>
      <c r="F43" s="14" t="b">
        <f>E43=D43</f>
        <v>0</v>
      </c>
    </row>
    <row r="45" spans="1:6" x14ac:dyDescent="0.2">
      <c r="A45" s="15" t="s">
        <v>24</v>
      </c>
      <c r="B45" s="13" t="s">
        <v>29</v>
      </c>
      <c r="D45" s="13">
        <v>124</v>
      </c>
      <c r="E45" s="12"/>
      <c r="F45" s="14" t="b">
        <f>E45=D45</f>
        <v>0</v>
      </c>
    </row>
    <row r="47" spans="1:6" x14ac:dyDescent="0.2">
      <c r="A47" s="15" t="s">
        <v>31</v>
      </c>
      <c r="B47" s="13" t="s">
        <v>30</v>
      </c>
      <c r="D47" s="13">
        <v>15</v>
      </c>
      <c r="E47" s="12"/>
      <c r="F47" s="14" t="b">
        <f>E47=D47</f>
        <v>0</v>
      </c>
    </row>
    <row r="49" spans="1:6" x14ac:dyDescent="0.2">
      <c r="A49" s="15" t="s">
        <v>31</v>
      </c>
      <c r="B49" s="13" t="s">
        <v>32</v>
      </c>
      <c r="D49" s="13">
        <v>15</v>
      </c>
      <c r="E49" s="12"/>
      <c r="F49" s="14" t="b">
        <f>E49=D49</f>
        <v>0</v>
      </c>
    </row>
    <row r="51" spans="1:6" x14ac:dyDescent="0.2">
      <c r="A51" s="15" t="s">
        <v>31</v>
      </c>
      <c r="B51" s="13" t="s">
        <v>33</v>
      </c>
      <c r="D51" s="13">
        <v>81</v>
      </c>
      <c r="E51" s="12"/>
      <c r="F51" s="14" t="b">
        <f>E51=D51</f>
        <v>0</v>
      </c>
    </row>
    <row r="53" spans="1:6" x14ac:dyDescent="0.2">
      <c r="A53" s="15" t="s">
        <v>31</v>
      </c>
      <c r="B53" s="13" t="s">
        <v>34</v>
      </c>
      <c r="D53" s="13">
        <v>72</v>
      </c>
      <c r="E53" s="12"/>
      <c r="F53" s="14" t="b">
        <f>E53=D53</f>
        <v>0</v>
      </c>
    </row>
    <row r="55" spans="1:6" x14ac:dyDescent="0.2">
      <c r="A55" s="15" t="s">
        <v>0</v>
      </c>
      <c r="B55" s="13" t="s">
        <v>1</v>
      </c>
      <c r="D55" s="13">
        <v>38</v>
      </c>
      <c r="E55" s="12"/>
      <c r="F55" s="14" t="b">
        <f>E55=D55</f>
        <v>0</v>
      </c>
    </row>
    <row r="57" spans="1:6" x14ac:dyDescent="0.2">
      <c r="A57" s="15" t="s">
        <v>35</v>
      </c>
      <c r="B57" s="13" t="s">
        <v>49</v>
      </c>
      <c r="D57" s="13">
        <v>141</v>
      </c>
      <c r="E57" s="12"/>
      <c r="F57" s="14" t="b">
        <f>E57=D57</f>
        <v>0</v>
      </c>
    </row>
    <row r="59" spans="1:6" x14ac:dyDescent="0.2">
      <c r="A59" s="15" t="s">
        <v>36</v>
      </c>
      <c r="B59" s="13" t="s">
        <v>50</v>
      </c>
      <c r="D59" s="13">
        <v>132</v>
      </c>
      <c r="E59" s="12"/>
      <c r="F59" s="14" t="b">
        <f>E59=D59</f>
        <v>0</v>
      </c>
    </row>
    <row r="61" spans="1:6" x14ac:dyDescent="0.2">
      <c r="A61" s="15" t="s">
        <v>37</v>
      </c>
      <c r="B61" s="13" t="s">
        <v>51</v>
      </c>
      <c r="D61" s="13">
        <v>228</v>
      </c>
      <c r="E61" s="12"/>
      <c r="F61" s="14" t="b">
        <f>E61=D61</f>
        <v>0</v>
      </c>
    </row>
    <row r="63" spans="1:6" x14ac:dyDescent="0.2">
      <c r="A63" s="15" t="s">
        <v>38</v>
      </c>
      <c r="B63" s="13" t="s">
        <v>52</v>
      </c>
      <c r="D63" s="13">
        <v>136</v>
      </c>
      <c r="E63" s="12"/>
      <c r="F63" s="14" t="b">
        <f>E63=D63</f>
        <v>0</v>
      </c>
    </row>
    <row r="65" spans="1:6" x14ac:dyDescent="0.2">
      <c r="A65" s="15" t="s">
        <v>39</v>
      </c>
      <c r="B65" s="13" t="s">
        <v>53</v>
      </c>
      <c r="D65" s="13">
        <v>342</v>
      </c>
      <c r="E65" s="12"/>
      <c r="F65" s="14" t="b">
        <f>E65=D65</f>
        <v>0</v>
      </c>
    </row>
    <row r="67" spans="1:6" x14ac:dyDescent="0.2">
      <c r="A67" s="15" t="s">
        <v>40</v>
      </c>
      <c r="B67" s="13" t="s">
        <v>54</v>
      </c>
      <c r="D67" s="13">
        <v>378</v>
      </c>
      <c r="E67" s="12"/>
      <c r="F67" s="14" t="b">
        <f>E67=D67</f>
        <v>0</v>
      </c>
    </row>
    <row r="69" spans="1:6" x14ac:dyDescent="0.2">
      <c r="A69" s="15" t="s">
        <v>41</v>
      </c>
      <c r="B69" s="13" t="s">
        <v>55</v>
      </c>
      <c r="D69" s="13">
        <v>323</v>
      </c>
      <c r="E69" s="12"/>
      <c r="F69" s="14" t="b">
        <f>E69=D69</f>
        <v>0</v>
      </c>
    </row>
    <row r="71" spans="1:6" x14ac:dyDescent="0.2">
      <c r="A71" s="15" t="s">
        <v>42</v>
      </c>
      <c r="B71" s="13" t="s">
        <v>56</v>
      </c>
      <c r="D71" s="13">
        <v>493</v>
      </c>
      <c r="E71" s="12"/>
      <c r="F71" s="14" t="b">
        <f>E71=D71</f>
        <v>0</v>
      </c>
    </row>
    <row r="73" spans="1:6" x14ac:dyDescent="0.2">
      <c r="A73" s="15" t="s">
        <v>43</v>
      </c>
      <c r="B73" s="13" t="s">
        <v>57</v>
      </c>
      <c r="D73" s="13">
        <v>203</v>
      </c>
      <c r="E73" s="12"/>
      <c r="F73" s="14" t="b">
        <f>E73=D73</f>
        <v>0</v>
      </c>
    </row>
    <row r="75" spans="1:6" x14ac:dyDescent="0.2">
      <c r="A75" s="15" t="s">
        <v>44</v>
      </c>
      <c r="B75" s="13" t="s">
        <v>58</v>
      </c>
      <c r="D75" s="13">
        <v>608</v>
      </c>
      <c r="E75" s="12"/>
      <c r="F75" s="14" t="b">
        <f>E75=D75</f>
        <v>0</v>
      </c>
    </row>
    <row r="77" spans="1:6" x14ac:dyDescent="0.2">
      <c r="A77" s="15" t="s">
        <v>45</v>
      </c>
      <c r="B77" s="13" t="s">
        <v>59</v>
      </c>
      <c r="D77" s="13">
        <v>255</v>
      </c>
      <c r="E77" s="12"/>
      <c r="F77" s="14" t="b">
        <f>E77=D77</f>
        <v>0</v>
      </c>
    </row>
    <row r="79" spans="1:6" x14ac:dyDescent="0.2">
      <c r="A79" s="15" t="s">
        <v>46</v>
      </c>
      <c r="B79" s="13" t="s">
        <v>60</v>
      </c>
      <c r="D79" s="13">
        <v>272</v>
      </c>
      <c r="E79" s="12"/>
      <c r="F79" s="14" t="b">
        <f>E79=D79</f>
        <v>0</v>
      </c>
    </row>
    <row r="81" spans="1:6" x14ac:dyDescent="0.2">
      <c r="A81" s="15" t="s">
        <v>47</v>
      </c>
      <c r="B81" s="13" t="s">
        <v>61</v>
      </c>
      <c r="D81" s="13">
        <v>208</v>
      </c>
      <c r="E81" s="12"/>
      <c r="F81" s="14" t="b">
        <f>E81=D81</f>
        <v>0</v>
      </c>
    </row>
    <row r="83" spans="1:6" x14ac:dyDescent="0.2">
      <c r="A83" s="15" t="s">
        <v>48</v>
      </c>
      <c r="B83" s="13" t="s">
        <v>62</v>
      </c>
      <c r="D83" s="13">
        <v>238</v>
      </c>
      <c r="E83" s="12"/>
      <c r="F83" s="14" t="b">
        <f>E83=D83</f>
        <v>0</v>
      </c>
    </row>
    <row r="85" spans="1:6" x14ac:dyDescent="0.2">
      <c r="A85" s="15" t="s">
        <v>6</v>
      </c>
      <c r="B85" s="13" t="s">
        <v>7</v>
      </c>
      <c r="D85" s="13">
        <v>64</v>
      </c>
      <c r="E85" s="12"/>
      <c r="F85" s="14" t="b">
        <f>E85=D85</f>
        <v>0</v>
      </c>
    </row>
    <row r="87" spans="1:6" x14ac:dyDescent="0.2">
      <c r="A87" s="15" t="s">
        <v>63</v>
      </c>
      <c r="B87" s="13" t="s">
        <v>78</v>
      </c>
      <c r="D87" s="13">
        <v>34</v>
      </c>
      <c r="E87" s="12"/>
      <c r="F87" s="14" t="b">
        <f>E87=D87</f>
        <v>0</v>
      </c>
    </row>
    <row r="89" spans="1:6" x14ac:dyDescent="0.2">
      <c r="A89" s="15" t="s">
        <v>72</v>
      </c>
      <c r="B89" s="13" t="s">
        <v>79</v>
      </c>
      <c r="D89" s="13">
        <v>93</v>
      </c>
      <c r="E89" s="12"/>
      <c r="F89" s="14" t="b">
        <f>E89=D89</f>
        <v>0</v>
      </c>
    </row>
    <row r="91" spans="1:6" x14ac:dyDescent="0.2">
      <c r="A91" s="15" t="s">
        <v>73</v>
      </c>
      <c r="B91" s="13" t="s">
        <v>80</v>
      </c>
      <c r="D91" s="13">
        <v>76</v>
      </c>
      <c r="E91" s="12"/>
      <c r="F91" s="14" t="b">
        <f>E91=D91</f>
        <v>0</v>
      </c>
    </row>
    <row r="93" spans="1:6" x14ac:dyDescent="0.2">
      <c r="A93" s="15" t="s">
        <v>64</v>
      </c>
      <c r="B93" s="13" t="s">
        <v>81</v>
      </c>
      <c r="D93" s="13">
        <v>43</v>
      </c>
      <c r="E93" s="12"/>
      <c r="F93" s="14" t="b">
        <f>E93=D93</f>
        <v>0</v>
      </c>
    </row>
    <row r="95" spans="1:6" x14ac:dyDescent="0.2">
      <c r="A95" s="15" t="s">
        <v>65</v>
      </c>
      <c r="B95" s="13" t="s">
        <v>82</v>
      </c>
      <c r="D95" s="13">
        <v>63</v>
      </c>
      <c r="E95" s="12"/>
      <c r="F95" s="14" t="b">
        <f>E95=D95</f>
        <v>0</v>
      </c>
    </row>
    <row r="97" spans="1:6" x14ac:dyDescent="0.2">
      <c r="A97" s="15" t="s">
        <v>66</v>
      </c>
      <c r="B97" s="13" t="s">
        <v>83</v>
      </c>
      <c r="D97" s="13">
        <v>77</v>
      </c>
      <c r="E97" s="12"/>
      <c r="F97" s="14" t="b">
        <f>E97=D97</f>
        <v>0</v>
      </c>
    </row>
    <row r="99" spans="1:6" x14ac:dyDescent="0.2">
      <c r="A99" s="15" t="s">
        <v>67</v>
      </c>
      <c r="B99" s="13" t="s">
        <v>84</v>
      </c>
      <c r="D99" s="13">
        <v>78</v>
      </c>
      <c r="E99" s="12"/>
      <c r="F99" s="14" t="b">
        <f>E99=D99</f>
        <v>0</v>
      </c>
    </row>
    <row r="101" spans="1:6" x14ac:dyDescent="0.2">
      <c r="A101" s="15" t="s">
        <v>68</v>
      </c>
      <c r="B101" s="13" t="s">
        <v>85</v>
      </c>
      <c r="D101" s="13">
        <v>38</v>
      </c>
      <c r="E101" s="12"/>
      <c r="F101" s="14" t="b">
        <f>E101=D101</f>
        <v>0</v>
      </c>
    </row>
    <row r="103" spans="1:6" x14ac:dyDescent="0.2">
      <c r="A103" s="15" t="s">
        <v>69</v>
      </c>
      <c r="B103" s="13" t="s">
        <v>86</v>
      </c>
      <c r="D103" s="13">
        <v>39</v>
      </c>
      <c r="E103" s="12"/>
      <c r="F103" s="14" t="b">
        <f>E103=D103</f>
        <v>0</v>
      </c>
    </row>
    <row r="105" spans="1:6" x14ac:dyDescent="0.2">
      <c r="A105" s="15" t="s">
        <v>74</v>
      </c>
      <c r="B105" s="13" t="s">
        <v>87</v>
      </c>
      <c r="D105" s="13">
        <v>57</v>
      </c>
      <c r="E105" s="12"/>
      <c r="F105" s="14" t="b">
        <f>E105=D105</f>
        <v>0</v>
      </c>
    </row>
    <row r="107" spans="1:6" x14ac:dyDescent="0.2">
      <c r="A107" s="15" t="s">
        <v>75</v>
      </c>
      <c r="B107" s="13" t="s">
        <v>88</v>
      </c>
      <c r="D107" s="13">
        <v>63</v>
      </c>
      <c r="E107" s="12"/>
      <c r="F107" s="14" t="b">
        <f>E107=D107</f>
        <v>0</v>
      </c>
    </row>
    <row r="109" spans="1:6" x14ac:dyDescent="0.2">
      <c r="A109" s="15" t="s">
        <v>93</v>
      </c>
      <c r="B109" s="13" t="s">
        <v>95</v>
      </c>
      <c r="D109" s="13">
        <v>21</v>
      </c>
      <c r="E109" s="12"/>
      <c r="F109" s="14" t="b">
        <f>E109=D109</f>
        <v>0</v>
      </c>
    </row>
    <row r="111" spans="1:6" x14ac:dyDescent="0.2">
      <c r="A111" s="15" t="s">
        <v>94</v>
      </c>
      <c r="B111" s="13" t="s">
        <v>96</v>
      </c>
      <c r="D111" s="13">
        <v>16</v>
      </c>
      <c r="E111" s="12"/>
      <c r="F111" s="14" t="b">
        <f>E111=D111</f>
        <v>0</v>
      </c>
    </row>
    <row r="113" spans="1:6" x14ac:dyDescent="0.2">
      <c r="A113" s="15" t="s">
        <v>70</v>
      </c>
      <c r="B113" s="13" t="s">
        <v>89</v>
      </c>
      <c r="D113" s="13">
        <v>23</v>
      </c>
      <c r="E113" s="12"/>
      <c r="F113" s="14" t="b">
        <f>E113=D113</f>
        <v>0</v>
      </c>
    </row>
    <row r="115" spans="1:6" x14ac:dyDescent="0.2">
      <c r="A115" s="15" t="s">
        <v>71</v>
      </c>
      <c r="B115" s="13" t="s">
        <v>90</v>
      </c>
      <c r="D115" s="13">
        <v>32</v>
      </c>
      <c r="E115" s="12"/>
      <c r="F115" s="14" t="b">
        <f>E115=D115</f>
        <v>0</v>
      </c>
    </row>
    <row r="117" spans="1:6" x14ac:dyDescent="0.2">
      <c r="A117" s="15" t="s">
        <v>76</v>
      </c>
      <c r="B117" s="13" t="s">
        <v>91</v>
      </c>
      <c r="D117" s="13">
        <v>39</v>
      </c>
      <c r="E117" s="12"/>
      <c r="F117" s="14" t="b">
        <f>E117=D117</f>
        <v>0</v>
      </c>
    </row>
    <row r="119" spans="1:6" x14ac:dyDescent="0.2">
      <c r="A119" s="15" t="s">
        <v>77</v>
      </c>
      <c r="B119" s="13" t="s">
        <v>92</v>
      </c>
      <c r="D119" s="13">
        <v>49</v>
      </c>
      <c r="E119" s="12"/>
      <c r="F119" s="14" t="b">
        <f>E119=D119</f>
        <v>0</v>
      </c>
    </row>
    <row r="121" spans="1:6" x14ac:dyDescent="0.2">
      <c r="A121" s="15" t="s">
        <v>100</v>
      </c>
      <c r="B121" s="13" t="s">
        <v>102</v>
      </c>
      <c r="D121" s="13">
        <v>220</v>
      </c>
      <c r="E121" s="12"/>
      <c r="F121" s="14" t="b">
        <f>E121=D121</f>
        <v>0</v>
      </c>
    </row>
    <row r="123" spans="1:6" x14ac:dyDescent="0.2">
      <c r="A123" s="15" t="s">
        <v>101</v>
      </c>
      <c r="B123" s="13" t="s">
        <v>103</v>
      </c>
      <c r="D123" s="13">
        <v>66</v>
      </c>
      <c r="E123" s="12"/>
      <c r="F123" s="14" t="b">
        <f>E123=D123</f>
        <v>0</v>
      </c>
    </row>
    <row r="125" spans="1:6" x14ac:dyDescent="0.2">
      <c r="A125" s="15" t="s">
        <v>97</v>
      </c>
      <c r="B125" s="13" t="s">
        <v>104</v>
      </c>
      <c r="D125" s="13">
        <v>88</v>
      </c>
      <c r="E125" s="12"/>
      <c r="F125" s="14" t="b">
        <f>E125=D125</f>
        <v>0</v>
      </c>
    </row>
    <row r="127" spans="1:6" x14ac:dyDescent="0.2">
      <c r="A127" s="15" t="s">
        <v>17</v>
      </c>
      <c r="B127" s="13" t="s">
        <v>18</v>
      </c>
      <c r="D127" s="13">
        <v>165</v>
      </c>
      <c r="E127" s="12"/>
      <c r="F127" s="14" t="b">
        <f>E127=D127</f>
        <v>0</v>
      </c>
    </row>
    <row r="129" spans="1:6" x14ac:dyDescent="0.2">
      <c r="A129" s="15" t="s">
        <v>98</v>
      </c>
      <c r="B129" s="13" t="s">
        <v>105</v>
      </c>
      <c r="D129" s="13">
        <v>1210</v>
      </c>
      <c r="E129" s="12"/>
      <c r="F129" s="14" t="b">
        <f>E129=D129</f>
        <v>0</v>
      </c>
    </row>
    <row r="131" spans="1:6" x14ac:dyDescent="0.2">
      <c r="A131" s="15" t="s">
        <v>99</v>
      </c>
      <c r="B131" s="13" t="s">
        <v>106</v>
      </c>
      <c r="D131" s="13">
        <v>2475</v>
      </c>
      <c r="E131" s="12"/>
      <c r="F131" s="14" t="b">
        <f>E131=D131</f>
        <v>0</v>
      </c>
    </row>
    <row r="133" spans="1:6" x14ac:dyDescent="0.2">
      <c r="A133" s="15" t="s">
        <v>107</v>
      </c>
      <c r="B133" s="13" t="s">
        <v>119</v>
      </c>
      <c r="D133" s="13">
        <v>180</v>
      </c>
      <c r="E133" s="12"/>
      <c r="F133" s="14" t="b">
        <f>E133=D133</f>
        <v>0</v>
      </c>
    </row>
    <row r="135" spans="1:6" x14ac:dyDescent="0.2">
      <c r="A135" s="15" t="s">
        <v>108</v>
      </c>
      <c r="B135" s="13" t="s">
        <v>120</v>
      </c>
      <c r="D135" s="13">
        <v>54</v>
      </c>
      <c r="E135" s="12"/>
      <c r="F135" s="14" t="b">
        <f>E135=D135</f>
        <v>0</v>
      </c>
    </row>
    <row r="137" spans="1:6" x14ac:dyDescent="0.2">
      <c r="A137" s="15" t="s">
        <v>109</v>
      </c>
      <c r="B137" s="13" t="s">
        <v>121</v>
      </c>
      <c r="D137" s="13">
        <v>72</v>
      </c>
      <c r="E137" s="12"/>
      <c r="F137" s="14" t="b">
        <f>E137=D137</f>
        <v>0</v>
      </c>
    </row>
    <row r="139" spans="1:6" x14ac:dyDescent="0.2">
      <c r="A139" s="15" t="s">
        <v>110</v>
      </c>
      <c r="B139" s="13" t="s">
        <v>122</v>
      </c>
      <c r="D139" s="13">
        <v>135</v>
      </c>
      <c r="E139" s="12"/>
      <c r="F139" s="14" t="b">
        <f>E139=D139</f>
        <v>0</v>
      </c>
    </row>
    <row r="141" spans="1:6" x14ac:dyDescent="0.2">
      <c r="A141" s="15" t="s">
        <v>111</v>
      </c>
      <c r="B141" s="13" t="s">
        <v>123</v>
      </c>
      <c r="D141" s="13">
        <v>990</v>
      </c>
      <c r="E141" s="12"/>
      <c r="F141" s="14" t="b">
        <f>E141=D141</f>
        <v>0</v>
      </c>
    </row>
    <row r="143" spans="1:6" x14ac:dyDescent="0.2">
      <c r="A143" s="15" t="s">
        <v>112</v>
      </c>
      <c r="B143" s="13" t="s">
        <v>124</v>
      </c>
      <c r="D143" s="13">
        <v>2025</v>
      </c>
      <c r="E143" s="12"/>
      <c r="F143" s="14" t="b">
        <f>E143=D143</f>
        <v>0</v>
      </c>
    </row>
    <row r="145" spans="1:6" x14ac:dyDescent="0.2">
      <c r="A145" s="15" t="s">
        <v>113</v>
      </c>
      <c r="B145" s="13" t="s">
        <v>116</v>
      </c>
      <c r="D145" s="13">
        <v>810</v>
      </c>
      <c r="E145" s="12"/>
      <c r="F145" s="14" t="b">
        <f>E145=D145</f>
        <v>0</v>
      </c>
    </row>
    <row r="147" spans="1:6" x14ac:dyDescent="0.2">
      <c r="A147" s="15" t="s">
        <v>114</v>
      </c>
      <c r="B147" s="13" t="s">
        <v>117</v>
      </c>
      <c r="D147" s="13">
        <v>1125</v>
      </c>
      <c r="E147" s="12"/>
      <c r="F147" s="14" t="b">
        <f>E147=D147</f>
        <v>0</v>
      </c>
    </row>
    <row r="149" spans="1:6" x14ac:dyDescent="0.2">
      <c r="A149" s="15" t="s">
        <v>115</v>
      </c>
      <c r="B149" s="13" t="s">
        <v>118</v>
      </c>
      <c r="D149" s="13">
        <v>2475</v>
      </c>
      <c r="E149" s="12"/>
      <c r="F149" s="14" t="b">
        <f>E149=D149</f>
        <v>0</v>
      </c>
    </row>
    <row r="151" spans="1:6" x14ac:dyDescent="0.2">
      <c r="A151" s="15" t="s">
        <v>125</v>
      </c>
      <c r="B151" s="13" t="s">
        <v>129</v>
      </c>
      <c r="D151" s="13">
        <v>360</v>
      </c>
      <c r="E151" s="12"/>
      <c r="F151" s="14" t="b">
        <f>E151=D151</f>
        <v>0</v>
      </c>
    </row>
    <row r="153" spans="1:6" x14ac:dyDescent="0.2">
      <c r="A153" s="15" t="s">
        <v>126</v>
      </c>
      <c r="B153" s="13" t="s">
        <v>130</v>
      </c>
      <c r="D153" s="13">
        <v>405</v>
      </c>
      <c r="E153" s="12"/>
      <c r="F153" s="14" t="b">
        <f>E153=D153</f>
        <v>0</v>
      </c>
    </row>
    <row r="155" spans="1:6" x14ac:dyDescent="0.2">
      <c r="A155" s="15" t="s">
        <v>127</v>
      </c>
      <c r="B155" s="13" t="s">
        <v>131</v>
      </c>
      <c r="D155" s="13">
        <v>432</v>
      </c>
      <c r="E155" s="12"/>
      <c r="F155" s="14" t="b">
        <f>E155=D155</f>
        <v>0</v>
      </c>
    </row>
    <row r="157" spans="1:6" x14ac:dyDescent="0.2">
      <c r="A157" s="15" t="s">
        <v>128</v>
      </c>
      <c r="B157" s="13" t="s">
        <v>132</v>
      </c>
      <c r="D157" s="13">
        <v>540</v>
      </c>
      <c r="E157" s="12"/>
      <c r="F157" s="14" t="b">
        <f>E157=D157</f>
        <v>0</v>
      </c>
    </row>
    <row r="159" spans="1:6" x14ac:dyDescent="0.2">
      <c r="A159" s="15" t="s">
        <v>135</v>
      </c>
      <c r="B159" s="13" t="s">
        <v>137</v>
      </c>
      <c r="D159" s="13">
        <v>1700</v>
      </c>
      <c r="E159" s="12"/>
      <c r="F159" s="14" t="b">
        <f>E159=D159</f>
        <v>0</v>
      </c>
    </row>
    <row r="161" spans="1:6" x14ac:dyDescent="0.2">
      <c r="A161" s="15" t="s">
        <v>136</v>
      </c>
      <c r="B161" s="13" t="s">
        <v>138</v>
      </c>
      <c r="D161" s="13">
        <v>1360</v>
      </c>
      <c r="E161" s="12"/>
      <c r="F161" s="14" t="b">
        <f>E161=D161</f>
        <v>0</v>
      </c>
    </row>
    <row r="163" spans="1:6" x14ac:dyDescent="0.2">
      <c r="A163" s="15" t="s">
        <v>133</v>
      </c>
      <c r="B163" s="13" t="s">
        <v>139</v>
      </c>
      <c r="D163" s="13">
        <v>2380</v>
      </c>
      <c r="E163" s="12"/>
      <c r="F163" s="14" t="b">
        <f>E163=D163</f>
        <v>0</v>
      </c>
    </row>
    <row r="165" spans="1:6" x14ac:dyDescent="0.2">
      <c r="A165" s="15" t="s">
        <v>134</v>
      </c>
      <c r="B165" s="13" t="s">
        <v>140</v>
      </c>
      <c r="D165" s="13">
        <v>2720</v>
      </c>
      <c r="E165" s="12"/>
      <c r="F165" s="14" t="b">
        <f>E165=D165</f>
        <v>0</v>
      </c>
    </row>
    <row r="167" spans="1:6" x14ac:dyDescent="0.2">
      <c r="A167" s="15" t="s">
        <v>141</v>
      </c>
      <c r="B167" s="13" t="s">
        <v>146</v>
      </c>
      <c r="D167" s="13">
        <v>105</v>
      </c>
      <c r="E167" s="12"/>
      <c r="F167" s="14" t="b">
        <f>E167=D167</f>
        <v>0</v>
      </c>
    </row>
    <row r="169" spans="1:6" x14ac:dyDescent="0.2">
      <c r="A169" s="15" t="s">
        <v>142</v>
      </c>
      <c r="B169" s="13" t="s">
        <v>147</v>
      </c>
      <c r="D169" s="13">
        <v>56</v>
      </c>
      <c r="E169" s="12"/>
      <c r="F169" s="14" t="b">
        <f>E169=D169</f>
        <v>0</v>
      </c>
    </row>
    <row r="171" spans="1:6" x14ac:dyDescent="0.2">
      <c r="A171" s="15" t="s">
        <v>143</v>
      </c>
      <c r="B171" s="13" t="s">
        <v>148</v>
      </c>
      <c r="D171" s="13">
        <v>98</v>
      </c>
      <c r="E171" s="12"/>
      <c r="F171" s="14" t="b">
        <f>E171=D171</f>
        <v>0</v>
      </c>
    </row>
    <row r="173" spans="1:6" x14ac:dyDescent="0.2">
      <c r="A173" s="15" t="s">
        <v>144</v>
      </c>
      <c r="B173" s="13" t="s">
        <v>149</v>
      </c>
      <c r="D173" s="13">
        <v>560</v>
      </c>
      <c r="E173" s="12"/>
      <c r="F173" s="14" t="b">
        <f>E173=D173</f>
        <v>0</v>
      </c>
    </row>
    <row r="175" spans="1:6" x14ac:dyDescent="0.2">
      <c r="A175" s="15" t="s">
        <v>145</v>
      </c>
      <c r="B175" s="13" t="s">
        <v>150</v>
      </c>
      <c r="D175" s="13">
        <v>2100</v>
      </c>
      <c r="E175" s="12"/>
      <c r="F175" s="14" t="b">
        <f>E175=D175</f>
        <v>0</v>
      </c>
    </row>
    <row r="177" spans="1:6" x14ac:dyDescent="0.2">
      <c r="A177" s="15" t="s">
        <v>19</v>
      </c>
      <c r="B177" s="13" t="s">
        <v>151</v>
      </c>
      <c r="D177" s="13">
        <v>5</v>
      </c>
      <c r="E177" s="12"/>
      <c r="F177" s="14" t="b">
        <f>E177=D177</f>
        <v>0</v>
      </c>
    </row>
    <row r="179" spans="1:6" x14ac:dyDescent="0.2">
      <c r="A179" s="15" t="s">
        <v>19</v>
      </c>
      <c r="B179" s="13" t="s">
        <v>152</v>
      </c>
      <c r="D179" s="13">
        <v>6</v>
      </c>
      <c r="E179" s="12"/>
      <c r="F179" s="14" t="b">
        <f>E179=D179</f>
        <v>0</v>
      </c>
    </row>
    <row r="181" spans="1:6" x14ac:dyDescent="0.2">
      <c r="A181" s="15" t="s">
        <v>153</v>
      </c>
      <c r="B181" s="13" t="s">
        <v>154</v>
      </c>
      <c r="D181" s="13">
        <v>8</v>
      </c>
      <c r="E181" s="12"/>
      <c r="F181" s="14" t="b">
        <f>E181=D181</f>
        <v>0</v>
      </c>
    </row>
    <row r="183" spans="1:6" x14ac:dyDescent="0.2">
      <c r="A183" s="15" t="s">
        <v>153</v>
      </c>
      <c r="B183" s="13" t="s">
        <v>155</v>
      </c>
      <c r="D183" s="13">
        <v>1</v>
      </c>
      <c r="E183" s="12"/>
      <c r="F183" s="14" t="b">
        <f>E183=D183</f>
        <v>0</v>
      </c>
    </row>
    <row r="185" spans="1:6" x14ac:dyDescent="0.2">
      <c r="A185" s="15" t="s">
        <v>153</v>
      </c>
      <c r="B185" s="13" t="s">
        <v>151</v>
      </c>
      <c r="D185" s="13">
        <v>5</v>
      </c>
      <c r="E185" s="12"/>
      <c r="F185" s="14" t="b">
        <f>E185=D185</f>
        <v>0</v>
      </c>
    </row>
    <row r="187" spans="1:6" x14ac:dyDescent="0.2">
      <c r="A187" s="15" t="s">
        <v>153</v>
      </c>
      <c r="B187" s="13" t="s">
        <v>152</v>
      </c>
      <c r="D187" s="13">
        <v>4</v>
      </c>
      <c r="E187" s="12"/>
      <c r="F187" s="14" t="b">
        <f>E187=D187</f>
        <v>0</v>
      </c>
    </row>
    <row r="189" spans="1:6" x14ac:dyDescent="0.2">
      <c r="A189" s="15" t="s">
        <v>19</v>
      </c>
      <c r="B189" s="13" t="s">
        <v>154</v>
      </c>
      <c r="D189" s="13">
        <v>2</v>
      </c>
      <c r="E189" s="12"/>
      <c r="F189" s="14" t="b">
        <f>E189=D189</f>
        <v>0</v>
      </c>
    </row>
    <row r="191" spans="1:6" x14ac:dyDescent="0.2">
      <c r="A191" s="15" t="s">
        <v>19</v>
      </c>
      <c r="B191" s="13" t="s">
        <v>155</v>
      </c>
      <c r="D191" s="13">
        <v>9</v>
      </c>
      <c r="E191" s="12"/>
      <c r="F191" s="14" t="b">
        <f>E191=D191</f>
        <v>0</v>
      </c>
    </row>
    <row r="193" spans="1:6" x14ac:dyDescent="0.2">
      <c r="A193" s="15" t="s">
        <v>156</v>
      </c>
      <c r="B193" s="13" t="s">
        <v>157</v>
      </c>
      <c r="D193" s="13">
        <v>88</v>
      </c>
      <c r="E193" s="12"/>
      <c r="F193" s="14" t="b">
        <f>E193=D193</f>
        <v>0</v>
      </c>
    </row>
    <row r="195" spans="1:6" x14ac:dyDescent="0.2">
      <c r="A195" s="15" t="s">
        <v>158</v>
      </c>
      <c r="B195" s="13" t="s">
        <v>159</v>
      </c>
      <c r="D195" s="13">
        <v>24</v>
      </c>
      <c r="E195" s="12"/>
      <c r="F195" s="14" t="b">
        <f>E195=D195</f>
        <v>0</v>
      </c>
    </row>
    <row r="197" spans="1:6" x14ac:dyDescent="0.2">
      <c r="A197" s="15" t="s">
        <v>160</v>
      </c>
      <c r="B197" s="13" t="s">
        <v>162</v>
      </c>
      <c r="D197" s="13">
        <v>71</v>
      </c>
      <c r="E197" s="12"/>
      <c r="F197" s="14" t="b">
        <f>E197=D197</f>
        <v>0</v>
      </c>
    </row>
    <row r="199" spans="1:6" x14ac:dyDescent="0.2">
      <c r="A199" s="15" t="s">
        <v>161</v>
      </c>
      <c r="B199" s="13" t="s">
        <v>159</v>
      </c>
      <c r="D199" s="13">
        <v>28</v>
      </c>
      <c r="E199" s="12"/>
      <c r="F199" s="14" t="b">
        <f>E199=D199</f>
        <v>0</v>
      </c>
    </row>
    <row r="201" spans="1:6" x14ac:dyDescent="0.2">
      <c r="A201" s="15" t="s">
        <v>160</v>
      </c>
      <c r="B201" s="13" t="s">
        <v>157</v>
      </c>
      <c r="D201" s="13">
        <v>85</v>
      </c>
      <c r="E201" s="12"/>
      <c r="F201" s="14" t="b">
        <f>E201=D201</f>
        <v>0</v>
      </c>
    </row>
    <row r="203" spans="1:6" x14ac:dyDescent="0.2">
      <c r="A203" s="15" t="s">
        <v>161</v>
      </c>
      <c r="B203" s="13" t="s">
        <v>159</v>
      </c>
      <c r="D203" s="13">
        <v>28</v>
      </c>
      <c r="E203" s="12"/>
      <c r="F203" s="14" t="b">
        <f>E203=D203</f>
        <v>0</v>
      </c>
    </row>
    <row r="205" spans="1:6" x14ac:dyDescent="0.2">
      <c r="A205" s="15" t="s">
        <v>156</v>
      </c>
      <c r="B205" s="13" t="s">
        <v>162</v>
      </c>
      <c r="D205" s="13">
        <v>75</v>
      </c>
      <c r="E205" s="12"/>
      <c r="F205" s="14" t="b">
        <f>E205=D205</f>
        <v>0</v>
      </c>
    </row>
    <row r="207" spans="1:6" x14ac:dyDescent="0.2">
      <c r="A207" s="15" t="s">
        <v>158</v>
      </c>
      <c r="B207" s="13" t="s">
        <v>163</v>
      </c>
      <c r="D207" s="13">
        <v>22</v>
      </c>
      <c r="E207" s="12"/>
      <c r="F207" s="14" t="b">
        <f>E207=D207</f>
        <v>0</v>
      </c>
    </row>
    <row r="209" spans="1:6" x14ac:dyDescent="0.2">
      <c r="A209" s="15" t="s">
        <v>12</v>
      </c>
      <c r="B209" s="13" t="s">
        <v>11</v>
      </c>
      <c r="D209" s="13">
        <v>1250</v>
      </c>
      <c r="E209" s="12"/>
      <c r="F209" s="14" t="b">
        <f>E209=D209</f>
        <v>0</v>
      </c>
    </row>
    <row r="211" spans="1:6" x14ac:dyDescent="0.2">
      <c r="A211" s="15" t="s">
        <v>13</v>
      </c>
      <c r="B211" s="13" t="s">
        <v>14</v>
      </c>
      <c r="D211" s="13">
        <v>11750</v>
      </c>
      <c r="E211" s="12"/>
      <c r="F211" s="14" t="b">
        <f>E211=D211</f>
        <v>0</v>
      </c>
    </row>
    <row r="213" spans="1:6" x14ac:dyDescent="0.2">
      <c r="A213" s="15" t="s">
        <v>15</v>
      </c>
      <c r="B213" s="13" t="s">
        <v>16</v>
      </c>
      <c r="D213" s="13">
        <v>2900</v>
      </c>
      <c r="E213" s="12"/>
      <c r="F213" s="14" t="b">
        <f>E213=D213</f>
        <v>0</v>
      </c>
    </row>
    <row r="215" spans="1:6" x14ac:dyDescent="0.2">
      <c r="A215" s="15" t="s">
        <v>164</v>
      </c>
      <c r="B215" s="13" t="s">
        <v>165</v>
      </c>
      <c r="D215" s="13">
        <v>51</v>
      </c>
      <c r="E215" s="12"/>
      <c r="F215" s="14" t="b">
        <f>E215=D215</f>
        <v>0</v>
      </c>
    </row>
    <row r="217" spans="1:6" x14ac:dyDescent="0.2">
      <c r="A217" s="15" t="s">
        <v>166</v>
      </c>
      <c r="B217" s="13" t="s">
        <v>167</v>
      </c>
      <c r="D217" s="13">
        <v>5450</v>
      </c>
      <c r="E217" s="12"/>
      <c r="F217" s="14" t="b">
        <f>E217=D217</f>
        <v>0</v>
      </c>
    </row>
    <row r="219" spans="1:6" x14ac:dyDescent="0.2">
      <c r="A219" s="15" t="s">
        <v>168</v>
      </c>
      <c r="B219" s="13" t="s">
        <v>169</v>
      </c>
      <c r="D219" s="13">
        <v>9790</v>
      </c>
      <c r="E219" s="12"/>
      <c r="F219" s="14" t="b">
        <f>E219=D219</f>
        <v>0</v>
      </c>
    </row>
    <row r="221" spans="1:6" x14ac:dyDescent="0.2">
      <c r="A221" s="21" t="s">
        <v>170</v>
      </c>
      <c r="B221" s="21"/>
      <c r="C221" s="21"/>
      <c r="D221" s="21"/>
      <c r="E221" s="21"/>
      <c r="F221" s="21"/>
    </row>
    <row r="222" spans="1:6" x14ac:dyDescent="0.2">
      <c r="A222" s="17"/>
      <c r="C222" s="19"/>
      <c r="F222"/>
    </row>
    <row r="223" spans="1:6" x14ac:dyDescent="0.2">
      <c r="A223" s="9" t="s">
        <v>160</v>
      </c>
      <c r="B223" s="13" t="s">
        <v>171</v>
      </c>
      <c r="C223" s="19"/>
      <c r="D223" s="13">
        <v>75</v>
      </c>
      <c r="E223" s="12"/>
      <c r="F223" t="b">
        <f>E223=D223</f>
        <v>0</v>
      </c>
    </row>
    <row r="224" spans="1:6" x14ac:dyDescent="0.2">
      <c r="A224" s="17"/>
      <c r="C224" s="19"/>
      <c r="F224"/>
    </row>
    <row r="225" spans="1:6" x14ac:dyDescent="0.2">
      <c r="A225" s="9" t="s">
        <v>161</v>
      </c>
      <c r="B225" s="13" t="s">
        <v>172</v>
      </c>
      <c r="C225" s="19"/>
      <c r="D225" s="13">
        <v>26</v>
      </c>
      <c r="E225" s="12"/>
      <c r="F225" t="b">
        <f>E225=D225</f>
        <v>0</v>
      </c>
    </row>
    <row r="226" spans="1:6" x14ac:dyDescent="0.2">
      <c r="A226" s="17"/>
      <c r="C226" s="19"/>
      <c r="F226"/>
    </row>
    <row r="227" spans="1:6" x14ac:dyDescent="0.2">
      <c r="A227" s="9" t="s">
        <v>161</v>
      </c>
      <c r="B227" s="13" t="s">
        <v>173</v>
      </c>
      <c r="C227" s="19"/>
      <c r="D227" s="13">
        <v>23</v>
      </c>
      <c r="E227" s="12"/>
      <c r="F227" t="b">
        <f>E227=D227</f>
        <v>0</v>
      </c>
    </row>
    <row r="228" spans="1:6" x14ac:dyDescent="0.2">
      <c r="A228" s="17"/>
      <c r="C228" s="19"/>
      <c r="F228"/>
    </row>
    <row r="229" spans="1:6" x14ac:dyDescent="0.2">
      <c r="A229" s="9" t="s">
        <v>160</v>
      </c>
      <c r="B229" s="13" t="s">
        <v>174</v>
      </c>
      <c r="C229" s="19"/>
      <c r="D229" s="13">
        <v>55</v>
      </c>
      <c r="E229" s="12"/>
      <c r="F229" t="b">
        <f>E229=D229</f>
        <v>0</v>
      </c>
    </row>
    <row r="230" spans="1:6" x14ac:dyDescent="0.2">
      <c r="A230" s="17"/>
      <c r="C230" s="19"/>
      <c r="F230"/>
    </row>
    <row r="231" spans="1:6" x14ac:dyDescent="0.2">
      <c r="A231" s="9" t="s">
        <v>160</v>
      </c>
      <c r="B231" s="13" t="s">
        <v>175</v>
      </c>
      <c r="C231" s="19"/>
      <c r="D231" s="13">
        <v>78</v>
      </c>
      <c r="E231" s="12"/>
      <c r="F231" t="b">
        <f>E231=D231</f>
        <v>0</v>
      </c>
    </row>
    <row r="232" spans="1:6" x14ac:dyDescent="0.2">
      <c r="A232" s="17"/>
      <c r="C232" s="19"/>
      <c r="F232"/>
    </row>
    <row r="233" spans="1:6" x14ac:dyDescent="0.2">
      <c r="A233" s="9" t="s">
        <v>161</v>
      </c>
      <c r="B233" s="13" t="s">
        <v>176</v>
      </c>
      <c r="C233" s="19"/>
      <c r="D233" s="13">
        <v>47</v>
      </c>
      <c r="E233" s="12"/>
      <c r="F233" t="b">
        <f>E233=D233</f>
        <v>0</v>
      </c>
    </row>
    <row r="234" spans="1:6" x14ac:dyDescent="0.2">
      <c r="A234" s="17"/>
      <c r="C234" s="19"/>
      <c r="F234"/>
    </row>
    <row r="235" spans="1:6" x14ac:dyDescent="0.2">
      <c r="A235" s="9" t="s">
        <v>160</v>
      </c>
      <c r="B235" s="13" t="s">
        <v>177</v>
      </c>
      <c r="C235" s="19"/>
      <c r="D235" s="13">
        <v>66</v>
      </c>
      <c r="E235" s="12"/>
      <c r="F235" t="b">
        <f>E235=D235</f>
        <v>0</v>
      </c>
    </row>
    <row r="236" spans="1:6" x14ac:dyDescent="0.2">
      <c r="A236" s="17"/>
      <c r="C236" s="19"/>
      <c r="F236"/>
    </row>
    <row r="237" spans="1:6" x14ac:dyDescent="0.2">
      <c r="A237" s="9" t="s">
        <v>161</v>
      </c>
      <c r="B237" s="13" t="s">
        <v>171</v>
      </c>
      <c r="C237" s="19"/>
      <c r="D237" s="13">
        <v>44</v>
      </c>
      <c r="E237" s="12"/>
      <c r="F237" t="b">
        <f>E237=D237</f>
        <v>0</v>
      </c>
    </row>
    <row r="238" spans="1:6" x14ac:dyDescent="0.2">
      <c r="A238" s="17"/>
      <c r="C238" s="19"/>
      <c r="F238"/>
    </row>
    <row r="239" spans="1:6" x14ac:dyDescent="0.2">
      <c r="A239" s="9" t="s">
        <v>160</v>
      </c>
      <c r="B239" s="13" t="s">
        <v>172</v>
      </c>
      <c r="C239" s="19"/>
      <c r="D239" s="13">
        <v>89</v>
      </c>
      <c r="E239" s="12"/>
      <c r="F239" t="b">
        <f>E239=D239</f>
        <v>0</v>
      </c>
    </row>
    <row r="240" spans="1:6" x14ac:dyDescent="0.2">
      <c r="A240" s="17"/>
      <c r="C240" s="19"/>
      <c r="F240"/>
    </row>
    <row r="241" spans="1:6" x14ac:dyDescent="0.2">
      <c r="A241" s="9" t="s">
        <v>161</v>
      </c>
      <c r="B241" s="13" t="s">
        <v>177</v>
      </c>
      <c r="C241" s="19"/>
      <c r="D241" s="13">
        <v>22</v>
      </c>
      <c r="E241" s="12"/>
      <c r="F241" t="b">
        <f>E241=D241</f>
        <v>0</v>
      </c>
    </row>
    <row r="242" spans="1:6" x14ac:dyDescent="0.2">
      <c r="A242" s="17"/>
      <c r="C242" s="19"/>
      <c r="F242"/>
    </row>
    <row r="243" spans="1:6" x14ac:dyDescent="0.2">
      <c r="A243" s="9" t="s">
        <v>161</v>
      </c>
      <c r="B243" s="13" t="s">
        <v>174</v>
      </c>
      <c r="C243" s="19"/>
      <c r="D243" s="13">
        <v>29</v>
      </c>
      <c r="E243" s="12"/>
      <c r="F243" t="b">
        <f>E243=D243</f>
        <v>0</v>
      </c>
    </row>
    <row r="244" spans="1:6" x14ac:dyDescent="0.2">
      <c r="A244" s="17"/>
      <c r="C244" s="19"/>
      <c r="F244"/>
    </row>
    <row r="245" spans="1:6" x14ac:dyDescent="0.2">
      <c r="A245" s="9" t="s">
        <v>160</v>
      </c>
      <c r="B245" s="13" t="s">
        <v>173</v>
      </c>
      <c r="C245" s="19"/>
      <c r="D245" s="13">
        <v>79</v>
      </c>
      <c r="E245" s="12"/>
      <c r="F245" t="b">
        <f>E245=D245</f>
        <v>0</v>
      </c>
    </row>
    <row r="246" spans="1:6" x14ac:dyDescent="0.2">
      <c r="A246" s="17"/>
      <c r="C246" s="19"/>
      <c r="F246"/>
    </row>
    <row r="247" spans="1:6" x14ac:dyDescent="0.2">
      <c r="A247" s="9" t="s">
        <v>160</v>
      </c>
      <c r="B247" s="13" t="s">
        <v>176</v>
      </c>
      <c r="C247" s="19"/>
      <c r="D247" s="13">
        <v>94</v>
      </c>
      <c r="E247" s="12"/>
      <c r="F247" t="b">
        <f>E247=D247</f>
        <v>0</v>
      </c>
    </row>
    <row r="248" spans="1:6" x14ac:dyDescent="0.2">
      <c r="A248" s="17"/>
      <c r="C248" s="19"/>
      <c r="F248"/>
    </row>
    <row r="249" spans="1:6" x14ac:dyDescent="0.2">
      <c r="A249" s="9" t="s">
        <v>161</v>
      </c>
      <c r="B249" s="13" t="s">
        <v>178</v>
      </c>
      <c r="C249" s="19"/>
      <c r="D249" s="13">
        <v>23</v>
      </c>
      <c r="E249" s="12"/>
      <c r="F249" t="b">
        <f>E249=D249</f>
        <v>0</v>
      </c>
    </row>
    <row r="250" spans="1:6" x14ac:dyDescent="0.2">
      <c r="A250" s="17"/>
      <c r="C250" s="19"/>
      <c r="F250"/>
    </row>
    <row r="251" spans="1:6" x14ac:dyDescent="0.2">
      <c r="A251" s="9" t="s">
        <v>160</v>
      </c>
      <c r="B251" s="13" t="s">
        <v>171</v>
      </c>
      <c r="C251" s="19"/>
      <c r="D251" s="13">
        <v>75</v>
      </c>
      <c r="E251" s="12"/>
      <c r="F251" t="b">
        <f>E251=D251</f>
        <v>0</v>
      </c>
    </row>
    <row r="252" spans="1:6" x14ac:dyDescent="0.2">
      <c r="A252" s="17"/>
      <c r="C252" s="19"/>
      <c r="F252"/>
    </row>
    <row r="253" spans="1:6" x14ac:dyDescent="0.2">
      <c r="A253" s="9" t="s">
        <v>161</v>
      </c>
      <c r="B253" s="13" t="s">
        <v>179</v>
      </c>
      <c r="C253" s="19"/>
      <c r="D253" s="13">
        <v>24</v>
      </c>
      <c r="E253" s="12"/>
      <c r="F253" t="b">
        <f>E253=D253</f>
        <v>0</v>
      </c>
    </row>
    <row r="254" spans="1:6" x14ac:dyDescent="0.2">
      <c r="A254" s="17"/>
      <c r="C254" s="19"/>
      <c r="F254"/>
    </row>
    <row r="255" spans="1:6" x14ac:dyDescent="0.2">
      <c r="A255" s="9" t="s">
        <v>160</v>
      </c>
      <c r="B255" s="13" t="s">
        <v>178</v>
      </c>
      <c r="C255" s="19"/>
      <c r="D255" s="13">
        <v>65</v>
      </c>
      <c r="E255" s="12"/>
      <c r="F255" t="b">
        <f>E255=D255</f>
        <v>0</v>
      </c>
    </row>
    <row r="256" spans="1:6" x14ac:dyDescent="0.2">
      <c r="A256" s="17"/>
      <c r="C256" s="19"/>
      <c r="F256"/>
    </row>
    <row r="257" spans="1:6" x14ac:dyDescent="0.2">
      <c r="A257" s="9" t="s">
        <v>161</v>
      </c>
      <c r="B257" s="13" t="s">
        <v>180</v>
      </c>
      <c r="C257" s="19"/>
      <c r="D257" s="13">
        <v>34</v>
      </c>
      <c r="E257" s="12"/>
      <c r="F257" t="b">
        <f>E257=D257</f>
        <v>0</v>
      </c>
    </row>
    <row r="258" spans="1:6" x14ac:dyDescent="0.2">
      <c r="A258" s="17"/>
      <c r="C258" s="19"/>
      <c r="F258"/>
    </row>
    <row r="259" spans="1:6" x14ac:dyDescent="0.2">
      <c r="A259" s="9" t="s">
        <v>161</v>
      </c>
      <c r="B259" s="13" t="s">
        <v>181</v>
      </c>
      <c r="C259" s="19"/>
      <c r="D259" s="13">
        <v>41</v>
      </c>
      <c r="E259" s="12"/>
      <c r="F259" t="b">
        <f>E259=D259</f>
        <v>0</v>
      </c>
    </row>
    <row r="260" spans="1:6" x14ac:dyDescent="0.2">
      <c r="A260" s="17"/>
      <c r="C260" s="19"/>
      <c r="F260"/>
    </row>
    <row r="261" spans="1:6" x14ac:dyDescent="0.2">
      <c r="A261" s="9" t="s">
        <v>160</v>
      </c>
      <c r="B261" s="13" t="s">
        <v>179</v>
      </c>
      <c r="C261" s="19"/>
      <c r="D261" s="13">
        <v>71</v>
      </c>
      <c r="E261" s="12"/>
      <c r="F261" t="b">
        <f>E261=D261</f>
        <v>0</v>
      </c>
    </row>
    <row r="262" spans="1:6" x14ac:dyDescent="0.2">
      <c r="A262" s="17"/>
      <c r="C262" s="19"/>
      <c r="F262"/>
    </row>
    <row r="263" spans="1:6" x14ac:dyDescent="0.2">
      <c r="A263" s="9" t="s">
        <v>160</v>
      </c>
      <c r="B263" s="13" t="s">
        <v>180</v>
      </c>
      <c r="C263" s="19"/>
      <c r="D263" s="13">
        <v>84</v>
      </c>
      <c r="E263" s="12"/>
      <c r="F263" t="b">
        <f>E263=D263</f>
        <v>0</v>
      </c>
    </row>
    <row r="264" spans="1:6" x14ac:dyDescent="0.2">
      <c r="A264" s="17"/>
      <c r="C264" s="19"/>
      <c r="F264"/>
    </row>
    <row r="265" spans="1:6" x14ac:dyDescent="0.2">
      <c r="A265" s="9" t="s">
        <v>161</v>
      </c>
      <c r="B265" s="13" t="s">
        <v>182</v>
      </c>
      <c r="C265" s="19"/>
      <c r="D265" s="13">
        <v>36</v>
      </c>
      <c r="E265" s="12"/>
      <c r="F265" t="b">
        <f>E265=D265</f>
        <v>0</v>
      </c>
    </row>
    <row r="266" spans="1:6" x14ac:dyDescent="0.2">
      <c r="A266" s="17"/>
      <c r="C266" s="19"/>
      <c r="F266"/>
    </row>
    <row r="267" spans="1:6" x14ac:dyDescent="0.2">
      <c r="A267" s="9" t="s">
        <v>160</v>
      </c>
      <c r="B267" s="13" t="s">
        <v>181</v>
      </c>
      <c r="C267" s="19"/>
      <c r="D267" s="13">
        <v>78</v>
      </c>
      <c r="E267" s="12"/>
      <c r="F267" t="b">
        <f>E267=D267</f>
        <v>0</v>
      </c>
    </row>
    <row r="268" spans="1:6" x14ac:dyDescent="0.2">
      <c r="A268" s="17"/>
      <c r="C268" s="19"/>
      <c r="F268"/>
    </row>
    <row r="269" spans="1:6" x14ac:dyDescent="0.2">
      <c r="A269" s="9" t="s">
        <v>160</v>
      </c>
      <c r="B269" s="13" t="s">
        <v>182</v>
      </c>
      <c r="C269" s="19"/>
      <c r="D269" s="13">
        <v>85</v>
      </c>
      <c r="E269" s="12"/>
      <c r="F269" t="b">
        <f>E269=D269</f>
        <v>0</v>
      </c>
    </row>
    <row r="270" spans="1:6" x14ac:dyDescent="0.2">
      <c r="A270" s="17"/>
      <c r="C270" s="19"/>
      <c r="F270"/>
    </row>
    <row r="271" spans="1:6" x14ac:dyDescent="0.2">
      <c r="A271" s="21" t="s">
        <v>183</v>
      </c>
      <c r="B271" s="21"/>
      <c r="C271" s="21"/>
      <c r="D271" s="21"/>
      <c r="E271" s="21"/>
      <c r="F271" s="21"/>
    </row>
    <row r="272" spans="1:6" x14ac:dyDescent="0.2">
      <c r="A272" s="17"/>
      <c r="C272" s="19"/>
      <c r="F272"/>
    </row>
    <row r="273" spans="1:6" x14ac:dyDescent="0.2">
      <c r="A273" s="9" t="s">
        <v>184</v>
      </c>
      <c r="B273" s="13" t="s">
        <v>185</v>
      </c>
      <c r="C273" s="19"/>
      <c r="D273" s="13">
        <v>140</v>
      </c>
      <c r="E273" s="12"/>
      <c r="F273" t="b">
        <f>E273=D273</f>
        <v>0</v>
      </c>
    </row>
    <row r="274" spans="1:6" x14ac:dyDescent="0.2">
      <c r="A274" s="17"/>
      <c r="C274" s="19"/>
      <c r="F274"/>
    </row>
    <row r="275" spans="1:6" x14ac:dyDescent="0.2">
      <c r="A275" s="9" t="s">
        <v>142</v>
      </c>
      <c r="B275" s="13" t="s">
        <v>147</v>
      </c>
      <c r="C275" s="19"/>
      <c r="D275" s="13">
        <v>56</v>
      </c>
      <c r="E275" s="12"/>
      <c r="F275" t="b">
        <f>E275=D275</f>
        <v>0</v>
      </c>
    </row>
    <row r="276" spans="1:6" x14ac:dyDescent="0.2">
      <c r="A276" s="17"/>
      <c r="C276" s="19"/>
      <c r="F276"/>
    </row>
    <row r="277" spans="1:6" x14ac:dyDescent="0.2">
      <c r="A277" s="9" t="s">
        <v>186</v>
      </c>
      <c r="B277" s="13" t="s">
        <v>187</v>
      </c>
      <c r="C277" s="19"/>
      <c r="D277" s="13">
        <v>49</v>
      </c>
      <c r="E277" s="12"/>
      <c r="F277" t="b">
        <f>E277=D277</f>
        <v>0</v>
      </c>
    </row>
    <row r="278" spans="1:6" x14ac:dyDescent="0.2">
      <c r="A278" s="17"/>
      <c r="C278" s="19"/>
      <c r="F278"/>
    </row>
    <row r="279" spans="1:6" x14ac:dyDescent="0.2">
      <c r="A279" s="9" t="s">
        <v>188</v>
      </c>
      <c r="B279" s="13" t="s">
        <v>189</v>
      </c>
      <c r="C279" s="19"/>
      <c r="D279" s="13">
        <v>42</v>
      </c>
      <c r="E279" s="12"/>
      <c r="F279" t="b">
        <f>E279=D279</f>
        <v>0</v>
      </c>
    </row>
    <row r="280" spans="1:6" x14ac:dyDescent="0.2">
      <c r="A280" s="17"/>
      <c r="C280" s="19"/>
      <c r="F280"/>
    </row>
    <row r="281" spans="1:6" x14ac:dyDescent="0.2">
      <c r="A281" s="9" t="s">
        <v>190</v>
      </c>
      <c r="B281" s="13" t="s">
        <v>191</v>
      </c>
      <c r="C281" s="19"/>
      <c r="D281" s="13">
        <v>210</v>
      </c>
      <c r="E281" s="12"/>
      <c r="F281" t="b">
        <f>E281=D281</f>
        <v>0</v>
      </c>
    </row>
    <row r="282" spans="1:6" x14ac:dyDescent="0.2">
      <c r="A282" s="17"/>
      <c r="C282" s="19"/>
      <c r="F282"/>
    </row>
    <row r="283" spans="1:6" x14ac:dyDescent="0.2">
      <c r="A283" s="9" t="s">
        <v>192</v>
      </c>
      <c r="B283" s="13" t="s">
        <v>193</v>
      </c>
      <c r="C283" s="19"/>
      <c r="D283" s="13">
        <v>175</v>
      </c>
      <c r="E283" s="12"/>
      <c r="F283" t="b">
        <f>E283=D283</f>
        <v>0</v>
      </c>
    </row>
    <row r="284" spans="1:6" x14ac:dyDescent="0.2">
      <c r="A284" s="17"/>
      <c r="C284" s="19"/>
      <c r="F284"/>
    </row>
    <row r="285" spans="1:6" x14ac:dyDescent="0.2">
      <c r="A285" s="9" t="s">
        <v>194</v>
      </c>
      <c r="B285" s="13" t="s">
        <v>195</v>
      </c>
      <c r="C285" s="19"/>
      <c r="D285" s="13">
        <v>420</v>
      </c>
      <c r="E285" s="12"/>
      <c r="F285" t="b">
        <f>E285=D285</f>
        <v>0</v>
      </c>
    </row>
    <row r="286" spans="1:6" x14ac:dyDescent="0.2">
      <c r="A286" s="17"/>
      <c r="C286" s="19"/>
      <c r="F286"/>
    </row>
    <row r="287" spans="1:6" x14ac:dyDescent="0.2">
      <c r="A287" s="9" t="s">
        <v>196</v>
      </c>
      <c r="B287" s="13" t="s">
        <v>197</v>
      </c>
      <c r="C287" s="19"/>
      <c r="D287" s="13">
        <v>2800</v>
      </c>
      <c r="E287" s="12"/>
      <c r="F287" t="b">
        <f>E287=D287</f>
        <v>0</v>
      </c>
    </row>
    <row r="288" spans="1:6" x14ac:dyDescent="0.2">
      <c r="A288" s="17"/>
      <c r="C288" s="19"/>
      <c r="F288"/>
    </row>
    <row r="289" spans="1:6" x14ac:dyDescent="0.2">
      <c r="A289" s="9" t="s">
        <v>198</v>
      </c>
      <c r="B289" s="13" t="s">
        <v>269</v>
      </c>
      <c r="C289" s="19"/>
      <c r="D289" s="13">
        <v>84</v>
      </c>
      <c r="E289" s="12"/>
      <c r="F289" t="b">
        <f>E289=D289</f>
        <v>0</v>
      </c>
    </row>
    <row r="290" spans="1:6" x14ac:dyDescent="0.2">
      <c r="A290" s="17"/>
      <c r="C290" s="19"/>
      <c r="F290"/>
    </row>
    <row r="291" spans="1:6" x14ac:dyDescent="0.2">
      <c r="A291" s="9" t="s">
        <v>199</v>
      </c>
      <c r="B291" s="13" t="s">
        <v>200</v>
      </c>
      <c r="C291" s="19"/>
      <c r="D291" s="13">
        <v>63</v>
      </c>
      <c r="E291" s="12"/>
      <c r="F291" t="b">
        <f>E291=D291</f>
        <v>0</v>
      </c>
    </row>
    <row r="292" spans="1:6" x14ac:dyDescent="0.2">
      <c r="A292" s="17"/>
      <c r="C292" s="19"/>
      <c r="F292"/>
    </row>
    <row r="293" spans="1:6" x14ac:dyDescent="0.2">
      <c r="A293" s="9" t="s">
        <v>201</v>
      </c>
      <c r="B293" s="13" t="s">
        <v>202</v>
      </c>
      <c r="C293" s="19"/>
      <c r="D293" s="13">
        <v>28</v>
      </c>
      <c r="E293" s="12"/>
      <c r="F293" t="b">
        <f>E293=D293</f>
        <v>0</v>
      </c>
    </row>
    <row r="294" spans="1:6" x14ac:dyDescent="0.2">
      <c r="A294" s="17"/>
      <c r="C294" s="19"/>
      <c r="F294"/>
    </row>
    <row r="295" spans="1:6" x14ac:dyDescent="0.2">
      <c r="A295" s="9" t="s">
        <v>203</v>
      </c>
      <c r="B295" s="13" t="s">
        <v>204</v>
      </c>
      <c r="C295" s="19"/>
      <c r="D295" s="13">
        <v>840</v>
      </c>
      <c r="E295" s="12"/>
      <c r="F295" t="b">
        <f>E295=D295</f>
        <v>0</v>
      </c>
    </row>
    <row r="296" spans="1:6" x14ac:dyDescent="0.2">
      <c r="A296" s="17"/>
      <c r="C296" s="19"/>
      <c r="F296"/>
    </row>
    <row r="297" spans="1:6" x14ac:dyDescent="0.2">
      <c r="A297" s="9" t="s">
        <v>205</v>
      </c>
      <c r="B297" s="13" t="s">
        <v>206</v>
      </c>
      <c r="C297" s="19"/>
      <c r="D297" s="13">
        <v>1400</v>
      </c>
      <c r="E297" s="12"/>
      <c r="F297" t="b">
        <f>E297=D297</f>
        <v>0</v>
      </c>
    </row>
    <row r="298" spans="1:6" x14ac:dyDescent="0.2">
      <c r="A298" s="17"/>
      <c r="C298" s="19"/>
      <c r="F298"/>
    </row>
    <row r="299" spans="1:6" x14ac:dyDescent="0.2">
      <c r="A299" s="9" t="s">
        <v>207</v>
      </c>
      <c r="B299" s="13" t="s">
        <v>208</v>
      </c>
      <c r="C299" s="19"/>
      <c r="D299" s="13">
        <v>1050</v>
      </c>
      <c r="E299" s="12"/>
      <c r="F299" t="b">
        <f>E299=D299</f>
        <v>0</v>
      </c>
    </row>
    <row r="300" spans="1:6" x14ac:dyDescent="0.2">
      <c r="A300" s="17"/>
      <c r="C300" s="19"/>
      <c r="F300"/>
    </row>
    <row r="301" spans="1:6" x14ac:dyDescent="0.2">
      <c r="A301" s="9" t="s">
        <v>209</v>
      </c>
      <c r="B301" s="13" t="s">
        <v>210</v>
      </c>
      <c r="C301" s="19"/>
      <c r="D301" s="13">
        <v>78</v>
      </c>
      <c r="E301" s="12"/>
      <c r="F301" t="b">
        <f>E301=D301</f>
        <v>0</v>
      </c>
    </row>
    <row r="302" spans="1:6" x14ac:dyDescent="0.2">
      <c r="A302" s="17"/>
      <c r="C302" s="19"/>
      <c r="F302"/>
    </row>
    <row r="303" spans="1:6" x14ac:dyDescent="0.2">
      <c r="A303" s="9" t="s">
        <v>211</v>
      </c>
      <c r="B303" s="13" t="s">
        <v>212</v>
      </c>
      <c r="C303" s="19"/>
      <c r="D303" s="13">
        <v>104</v>
      </c>
      <c r="E303" s="12"/>
      <c r="F303" t="b">
        <f>E303=D303</f>
        <v>0</v>
      </c>
    </row>
    <row r="304" spans="1:6" x14ac:dyDescent="0.2">
      <c r="A304" s="17"/>
      <c r="C304" s="19"/>
      <c r="F304"/>
    </row>
    <row r="305" spans="1:6" x14ac:dyDescent="0.2">
      <c r="A305" s="9" t="s">
        <v>213</v>
      </c>
      <c r="B305" s="13" t="s">
        <v>214</v>
      </c>
      <c r="C305" s="19"/>
      <c r="D305" s="13">
        <v>91</v>
      </c>
      <c r="E305" s="12"/>
      <c r="F305" t="b">
        <f>E305=D305</f>
        <v>0</v>
      </c>
    </row>
    <row r="306" spans="1:6" x14ac:dyDescent="0.2">
      <c r="A306" s="17"/>
      <c r="C306" s="19"/>
      <c r="F306"/>
    </row>
    <row r="307" spans="1:6" x14ac:dyDescent="0.2">
      <c r="A307" s="9" t="s">
        <v>215</v>
      </c>
      <c r="B307" s="13" t="s">
        <v>216</v>
      </c>
      <c r="C307" s="19"/>
      <c r="D307" s="13">
        <v>195</v>
      </c>
      <c r="E307" s="12"/>
      <c r="F307" t="b">
        <f>E307=D307</f>
        <v>0</v>
      </c>
    </row>
    <row r="308" spans="1:6" x14ac:dyDescent="0.2">
      <c r="A308" s="17"/>
      <c r="C308" s="19"/>
      <c r="F308"/>
    </row>
    <row r="309" spans="1:6" x14ac:dyDescent="0.2">
      <c r="A309" s="9" t="s">
        <v>217</v>
      </c>
      <c r="B309" s="13" t="s">
        <v>218</v>
      </c>
      <c r="C309" s="19"/>
      <c r="D309" s="13">
        <v>52</v>
      </c>
      <c r="E309" s="12"/>
      <c r="F309" t="b">
        <f>E309=D309</f>
        <v>0</v>
      </c>
    </row>
    <row r="310" spans="1:6" x14ac:dyDescent="0.2">
      <c r="A310" s="17"/>
      <c r="C310" s="19"/>
      <c r="F310"/>
    </row>
    <row r="311" spans="1:6" x14ac:dyDescent="0.2">
      <c r="A311" s="9" t="s">
        <v>219</v>
      </c>
      <c r="B311" s="13" t="s">
        <v>220</v>
      </c>
      <c r="C311" s="19"/>
      <c r="D311" s="13">
        <v>260</v>
      </c>
      <c r="E311" s="12"/>
      <c r="F311" t="b">
        <f>E311=D311</f>
        <v>0</v>
      </c>
    </row>
    <row r="312" spans="1:6" x14ac:dyDescent="0.2">
      <c r="A312" s="17"/>
      <c r="C312" s="19"/>
      <c r="F312"/>
    </row>
    <row r="313" spans="1:6" x14ac:dyDescent="0.2">
      <c r="A313" s="9" t="s">
        <v>221</v>
      </c>
      <c r="B313" s="13" t="s">
        <v>222</v>
      </c>
      <c r="C313" s="19"/>
      <c r="D313" s="13">
        <v>2600</v>
      </c>
      <c r="E313" s="12"/>
      <c r="F313" t="b">
        <f>E313=D313</f>
        <v>0</v>
      </c>
    </row>
    <row r="314" spans="1:6" x14ac:dyDescent="0.2">
      <c r="A314" s="17"/>
      <c r="C314" s="19"/>
      <c r="F314"/>
    </row>
    <row r="315" spans="1:6" x14ac:dyDescent="0.2">
      <c r="A315" s="9" t="s">
        <v>223</v>
      </c>
      <c r="B315" s="13" t="s">
        <v>224</v>
      </c>
      <c r="C315" s="19"/>
      <c r="D315" s="13">
        <v>780</v>
      </c>
      <c r="E315" s="12"/>
      <c r="F315" t="b">
        <f>E315=D315</f>
        <v>0</v>
      </c>
    </row>
    <row r="317" spans="1:6" x14ac:dyDescent="0.2">
      <c r="A317" s="9" t="s">
        <v>225</v>
      </c>
      <c r="B317" s="13" t="s">
        <v>226</v>
      </c>
      <c r="C317" s="19"/>
      <c r="D317" s="13">
        <v>330</v>
      </c>
      <c r="E317" s="12"/>
      <c r="F317" t="b">
        <f>E317=D317</f>
        <v>0</v>
      </c>
    </row>
    <row r="318" spans="1:6" x14ac:dyDescent="0.2">
      <c r="A318" s="17"/>
      <c r="C318" s="19"/>
      <c r="F318"/>
    </row>
    <row r="319" spans="1:6" x14ac:dyDescent="0.2">
      <c r="A319" s="9" t="s">
        <v>227</v>
      </c>
      <c r="B319" s="13" t="s">
        <v>228</v>
      </c>
      <c r="C319" s="19"/>
      <c r="D319" s="13">
        <v>99</v>
      </c>
      <c r="E319" s="12"/>
      <c r="F319" t="b">
        <f>E319=D319</f>
        <v>0</v>
      </c>
    </row>
    <row r="320" spans="1:6" x14ac:dyDescent="0.2">
      <c r="A320" s="17"/>
      <c r="C320" s="19"/>
      <c r="F320"/>
    </row>
    <row r="321" spans="1:6" x14ac:dyDescent="0.2">
      <c r="A321" s="9" t="s">
        <v>229</v>
      </c>
      <c r="B321" s="13" t="s">
        <v>230</v>
      </c>
      <c r="C321" s="19"/>
      <c r="D321" s="13">
        <v>143</v>
      </c>
      <c r="E321" s="12"/>
      <c r="F321" t="b">
        <f>E321=D321</f>
        <v>0</v>
      </c>
    </row>
    <row r="322" spans="1:6" x14ac:dyDescent="0.2">
      <c r="A322" s="17"/>
      <c r="C322" s="19"/>
      <c r="F322"/>
    </row>
    <row r="323" spans="1:6" x14ac:dyDescent="0.2">
      <c r="A323" s="9" t="s">
        <v>231</v>
      </c>
      <c r="B323" s="13" t="s">
        <v>232</v>
      </c>
      <c r="C323" s="19"/>
      <c r="D323" s="13">
        <v>275</v>
      </c>
      <c r="E323" s="12"/>
      <c r="F323" t="b">
        <f>E323=D323</f>
        <v>0</v>
      </c>
    </row>
    <row r="324" spans="1:6" x14ac:dyDescent="0.2">
      <c r="A324" s="17"/>
      <c r="C324" s="19"/>
      <c r="F324"/>
    </row>
    <row r="325" spans="1:6" x14ac:dyDescent="0.2">
      <c r="A325" s="9" t="s">
        <v>233</v>
      </c>
      <c r="B325" s="13" t="s">
        <v>234</v>
      </c>
      <c r="C325" s="19"/>
      <c r="D325" s="13">
        <v>3300</v>
      </c>
      <c r="E325" s="12"/>
      <c r="F325" t="b">
        <f>E325=D325</f>
        <v>0</v>
      </c>
    </row>
    <row r="326" spans="1:6" x14ac:dyDescent="0.2">
      <c r="A326" s="17"/>
      <c r="C326" s="19"/>
      <c r="F326"/>
    </row>
    <row r="327" spans="1:6" x14ac:dyDescent="0.2">
      <c r="A327" s="9" t="s">
        <v>235</v>
      </c>
      <c r="B327" s="13" t="s">
        <v>236</v>
      </c>
      <c r="C327" s="19"/>
      <c r="D327" s="13">
        <v>1375</v>
      </c>
      <c r="E327" s="12"/>
      <c r="F327" t="b">
        <f>E327=D327</f>
        <v>0</v>
      </c>
    </row>
    <row r="328" spans="1:6" x14ac:dyDescent="0.2">
      <c r="A328" s="17"/>
      <c r="C328" s="19"/>
      <c r="F328"/>
    </row>
    <row r="329" spans="1:6" x14ac:dyDescent="0.2">
      <c r="A329" s="9" t="s">
        <v>237</v>
      </c>
      <c r="B329" s="13" t="s">
        <v>238</v>
      </c>
      <c r="C329" s="19"/>
      <c r="D329" s="13">
        <v>270</v>
      </c>
      <c r="E329" s="12"/>
      <c r="F329" t="b">
        <f>E329=D329</f>
        <v>0</v>
      </c>
    </row>
    <row r="330" spans="1:6" x14ac:dyDescent="0.2">
      <c r="A330" s="17"/>
      <c r="C330" s="19"/>
      <c r="F330"/>
    </row>
    <row r="331" spans="1:6" x14ac:dyDescent="0.2">
      <c r="A331" s="9" t="s">
        <v>239</v>
      </c>
      <c r="B331" s="13" t="s">
        <v>240</v>
      </c>
      <c r="C331" s="19"/>
      <c r="D331" s="13">
        <v>63</v>
      </c>
      <c r="E331" s="12"/>
      <c r="F331" t="b">
        <f>E331=D331</f>
        <v>0</v>
      </c>
    </row>
    <row r="332" spans="1:6" x14ac:dyDescent="0.2">
      <c r="A332" s="17"/>
      <c r="C332" s="19"/>
      <c r="F332"/>
    </row>
    <row r="333" spans="1:6" x14ac:dyDescent="0.2">
      <c r="A333" s="9" t="s">
        <v>241</v>
      </c>
      <c r="B333" s="13" t="s">
        <v>242</v>
      </c>
      <c r="C333" s="19"/>
      <c r="D333" s="13">
        <v>153</v>
      </c>
      <c r="E333" s="12"/>
      <c r="F333" t="b">
        <f>E333=D333</f>
        <v>0</v>
      </c>
    </row>
    <row r="334" spans="1:6" x14ac:dyDescent="0.2">
      <c r="A334" s="17"/>
      <c r="C334" s="19"/>
      <c r="F334"/>
    </row>
    <row r="335" spans="1:6" x14ac:dyDescent="0.2">
      <c r="A335" s="9" t="s">
        <v>243</v>
      </c>
      <c r="B335" s="13" t="s">
        <v>244</v>
      </c>
      <c r="C335" s="19"/>
      <c r="D335" s="13">
        <v>315</v>
      </c>
      <c r="E335" s="12"/>
      <c r="F335" t="b">
        <f>E335=D335</f>
        <v>0</v>
      </c>
    </row>
    <row r="336" spans="1:6" x14ac:dyDescent="0.2">
      <c r="A336" s="17"/>
      <c r="C336" s="19"/>
      <c r="F336"/>
    </row>
    <row r="337" spans="1:6" x14ac:dyDescent="0.2">
      <c r="A337" s="9" t="s">
        <v>245</v>
      </c>
      <c r="B337" s="13" t="s">
        <v>246</v>
      </c>
      <c r="C337" s="19"/>
      <c r="D337" s="13">
        <v>2250</v>
      </c>
      <c r="E337" s="12"/>
      <c r="F337" t="b">
        <f>E337=D337</f>
        <v>0</v>
      </c>
    </row>
    <row r="338" spans="1:6" x14ac:dyDescent="0.2">
      <c r="A338" s="17"/>
      <c r="C338" s="19"/>
      <c r="F338"/>
    </row>
    <row r="339" spans="1:6" x14ac:dyDescent="0.2">
      <c r="A339" s="9" t="s">
        <v>247</v>
      </c>
      <c r="B339" s="13" t="s">
        <v>248</v>
      </c>
      <c r="C339" s="19"/>
      <c r="D339" s="13">
        <v>1890</v>
      </c>
      <c r="E339" s="12"/>
      <c r="F339" t="b">
        <f>E339=D339</f>
        <v>0</v>
      </c>
    </row>
    <row r="340" spans="1:6" x14ac:dyDescent="0.2">
      <c r="A340" s="17"/>
      <c r="C340" s="19"/>
      <c r="F340"/>
    </row>
    <row r="341" spans="1:6" x14ac:dyDescent="0.2">
      <c r="A341" s="9" t="s">
        <v>249</v>
      </c>
      <c r="B341" s="13" t="s">
        <v>250</v>
      </c>
      <c r="C341" s="19"/>
      <c r="D341" s="13">
        <v>630</v>
      </c>
      <c r="E341" s="12"/>
      <c r="F341" t="b">
        <f>E341=D341</f>
        <v>0</v>
      </c>
    </row>
    <row r="342" spans="1:6" x14ac:dyDescent="0.2">
      <c r="A342" s="17"/>
      <c r="C342" s="19"/>
      <c r="F342"/>
    </row>
    <row r="343" spans="1:6" x14ac:dyDescent="0.2">
      <c r="A343" s="9" t="s">
        <v>251</v>
      </c>
      <c r="B343" s="13" t="s">
        <v>252</v>
      </c>
      <c r="C343" s="19"/>
      <c r="D343" s="13">
        <v>2610</v>
      </c>
      <c r="E343" s="12"/>
      <c r="F343" t="b">
        <f>E343=D343</f>
        <v>0</v>
      </c>
    </row>
    <row r="344" spans="1:6" x14ac:dyDescent="0.2">
      <c r="A344" s="17"/>
      <c r="C344" s="19"/>
      <c r="F344"/>
    </row>
    <row r="345" spans="1:6" x14ac:dyDescent="0.2">
      <c r="A345" s="9" t="s">
        <v>253</v>
      </c>
      <c r="B345" s="13" t="s">
        <v>254</v>
      </c>
      <c r="C345" s="19"/>
      <c r="D345" s="13">
        <v>855</v>
      </c>
      <c r="E345" s="12"/>
      <c r="F345" t="b">
        <f>E345=D345</f>
        <v>0</v>
      </c>
    </row>
    <row r="346" spans="1:6" x14ac:dyDescent="0.2">
      <c r="A346" s="17"/>
      <c r="C346" s="19"/>
      <c r="F346"/>
    </row>
    <row r="347" spans="1:6" x14ac:dyDescent="0.2">
      <c r="A347" s="9" t="s">
        <v>255</v>
      </c>
      <c r="B347" s="13" t="s">
        <v>256</v>
      </c>
      <c r="C347" s="19"/>
      <c r="D347" s="13">
        <v>93</v>
      </c>
      <c r="E347" s="12"/>
      <c r="F347" t="b">
        <f>E347=D347</f>
        <v>0</v>
      </c>
    </row>
    <row r="348" spans="1:6" x14ac:dyDescent="0.2">
      <c r="A348" s="17"/>
      <c r="C348" s="19"/>
      <c r="F348"/>
    </row>
    <row r="349" spans="1:6" x14ac:dyDescent="0.2">
      <c r="A349" s="9" t="s">
        <v>257</v>
      </c>
      <c r="B349" s="13" t="s">
        <v>258</v>
      </c>
      <c r="C349" s="19"/>
      <c r="D349" s="13">
        <v>69</v>
      </c>
      <c r="E349" s="12"/>
      <c r="F349" t="b">
        <f>E349=D349</f>
        <v>0</v>
      </c>
    </row>
    <row r="350" spans="1:6" x14ac:dyDescent="0.2">
      <c r="A350" s="17"/>
      <c r="C350" s="19"/>
      <c r="F350"/>
    </row>
    <row r="351" spans="1:6" x14ac:dyDescent="0.2">
      <c r="A351" s="9" t="s">
        <v>259</v>
      </c>
      <c r="B351" s="13" t="s">
        <v>260</v>
      </c>
      <c r="C351" s="19"/>
      <c r="D351" s="13">
        <v>366</v>
      </c>
      <c r="E351" s="12"/>
      <c r="F351" t="b">
        <f>E351=D351</f>
        <v>0</v>
      </c>
    </row>
    <row r="352" spans="1:6" x14ac:dyDescent="0.2">
      <c r="A352" s="17"/>
      <c r="C352" s="19"/>
      <c r="F352"/>
    </row>
    <row r="353" spans="1:6" x14ac:dyDescent="0.2">
      <c r="A353" s="9" t="s">
        <v>261</v>
      </c>
      <c r="B353" s="13" t="s">
        <v>262</v>
      </c>
      <c r="C353" s="19"/>
      <c r="D353" s="13">
        <v>390</v>
      </c>
      <c r="E353" s="12"/>
      <c r="F353" t="b">
        <f>E353=D353</f>
        <v>0</v>
      </c>
    </row>
    <row r="354" spans="1:6" x14ac:dyDescent="0.2">
      <c r="A354" s="17"/>
      <c r="C354" s="19"/>
      <c r="F354"/>
    </row>
    <row r="355" spans="1:6" x14ac:dyDescent="0.2">
      <c r="A355" s="9" t="s">
        <v>263</v>
      </c>
      <c r="B355" s="13" t="s">
        <v>264</v>
      </c>
      <c r="C355" s="19"/>
      <c r="D355" s="13">
        <v>2550</v>
      </c>
      <c r="E355" s="12"/>
      <c r="F355" t="b">
        <f>E355=D355</f>
        <v>0</v>
      </c>
    </row>
    <row r="356" spans="1:6" x14ac:dyDescent="0.2">
      <c r="A356" s="17"/>
      <c r="C356" s="19"/>
      <c r="F356"/>
    </row>
    <row r="357" spans="1:6" x14ac:dyDescent="0.2">
      <c r="A357" s="9" t="s">
        <v>265</v>
      </c>
      <c r="B357" s="13" t="s">
        <v>266</v>
      </c>
      <c r="C357" s="19"/>
      <c r="D357" s="13">
        <v>2210</v>
      </c>
      <c r="E357" s="12"/>
      <c r="F357" t="b">
        <f>E357=D357</f>
        <v>0</v>
      </c>
    </row>
    <row r="358" spans="1:6" x14ac:dyDescent="0.2">
      <c r="A358" s="17"/>
      <c r="C358" s="19"/>
      <c r="F358"/>
    </row>
    <row r="359" spans="1:6" x14ac:dyDescent="0.2">
      <c r="A359" s="9" t="s">
        <v>267</v>
      </c>
      <c r="B359" s="13" t="s">
        <v>268</v>
      </c>
      <c r="C359" s="19"/>
      <c r="D359" s="13">
        <v>1190</v>
      </c>
      <c r="E359" s="12"/>
      <c r="F359" t="b">
        <f>E359=D359</f>
        <v>0</v>
      </c>
    </row>
    <row r="360" spans="1:6" x14ac:dyDescent="0.2">
      <c r="A360" s="17"/>
      <c r="C360" s="19"/>
      <c r="F360"/>
    </row>
    <row r="361" spans="1:6" x14ac:dyDescent="0.2">
      <c r="A361" s="21" t="s">
        <v>280</v>
      </c>
      <c r="B361" s="21"/>
      <c r="C361" s="21"/>
      <c r="D361" s="21"/>
      <c r="E361" s="21"/>
      <c r="F361" s="21"/>
    </row>
    <row r="362" spans="1:6" x14ac:dyDescent="0.2">
      <c r="A362" s="17"/>
      <c r="C362" s="19"/>
      <c r="F362"/>
    </row>
    <row r="363" spans="1:6" x14ac:dyDescent="0.2">
      <c r="A363" s="9" t="s">
        <v>270</v>
      </c>
      <c r="B363" s="13" t="s">
        <v>279</v>
      </c>
      <c r="C363" s="19"/>
      <c r="D363" s="13">
        <v>1500</v>
      </c>
      <c r="E363" s="12"/>
      <c r="F363" t="b">
        <f>E363=D363</f>
        <v>0</v>
      </c>
    </row>
    <row r="365" spans="1:6" x14ac:dyDescent="0.2">
      <c r="A365" s="9" t="s">
        <v>271</v>
      </c>
      <c r="B365" s="13" t="s">
        <v>275</v>
      </c>
      <c r="C365" s="19"/>
      <c r="D365" s="13">
        <v>60</v>
      </c>
      <c r="E365" s="12"/>
      <c r="F365" t="b">
        <f>E365=D365</f>
        <v>0</v>
      </c>
    </row>
    <row r="367" spans="1:6" x14ac:dyDescent="0.2">
      <c r="A367" s="9" t="s">
        <v>272</v>
      </c>
      <c r="B367" s="13" t="s">
        <v>276</v>
      </c>
      <c r="C367" s="19"/>
      <c r="D367" s="13">
        <v>180</v>
      </c>
      <c r="E367" s="12"/>
      <c r="F367" t="b">
        <f>E367=D367</f>
        <v>0</v>
      </c>
    </row>
    <row r="369" spans="1:8" x14ac:dyDescent="0.2">
      <c r="A369" s="9" t="s">
        <v>273</v>
      </c>
      <c r="B369" s="13" t="s">
        <v>277</v>
      </c>
      <c r="C369" s="19"/>
      <c r="D369" s="13">
        <v>95</v>
      </c>
      <c r="E369" s="12"/>
      <c r="F369" t="b">
        <f>E369=D369</f>
        <v>0</v>
      </c>
    </row>
    <row r="371" spans="1:8" x14ac:dyDescent="0.2">
      <c r="A371" s="9" t="s">
        <v>274</v>
      </c>
      <c r="B371" s="13" t="s">
        <v>278</v>
      </c>
      <c r="C371" s="19"/>
      <c r="D371" s="13">
        <v>120</v>
      </c>
      <c r="E371" s="12"/>
      <c r="F371" t="b">
        <f>E371=D371</f>
        <v>0</v>
      </c>
    </row>
    <row r="372" spans="1:8" x14ac:dyDescent="0.2">
      <c r="H372" s="22" t="s">
        <v>281</v>
      </c>
    </row>
    <row r="373" spans="1:8" x14ac:dyDescent="0.2">
      <c r="H373" s="23" t="s">
        <v>282</v>
      </c>
    </row>
  </sheetData>
  <mergeCells count="4">
    <mergeCell ref="B1:D1"/>
    <mergeCell ref="A221:F221"/>
    <mergeCell ref="A271:F271"/>
    <mergeCell ref="A361:F361"/>
  </mergeCells>
  <conditionalFormatting sqref="F47">
    <cfRule type="cellIs" dxfId="355" priority="367" operator="equal">
      <formula>FALSE</formula>
    </cfRule>
    <cfRule type="cellIs" dxfId="354" priority="368" operator="equal">
      <formula>TRUE</formula>
    </cfRule>
  </conditionalFormatting>
  <conditionalFormatting sqref="F85">
    <cfRule type="cellIs" dxfId="353" priority="365" operator="equal">
      <formula>FALSE</formula>
    </cfRule>
    <cfRule type="cellIs" dxfId="352" priority="366" operator="equal">
      <formula>TRUE</formula>
    </cfRule>
  </conditionalFormatting>
  <conditionalFormatting sqref="F3">
    <cfRule type="cellIs" dxfId="351" priority="363" operator="equal">
      <formula>FALSE</formula>
    </cfRule>
    <cfRule type="cellIs" dxfId="350" priority="364" operator="equal">
      <formula>TRUE</formula>
    </cfRule>
  </conditionalFormatting>
  <conditionalFormatting sqref="F5">
    <cfRule type="cellIs" dxfId="349" priority="361" operator="equal">
      <formula>FALSE</formula>
    </cfRule>
    <cfRule type="cellIs" dxfId="348" priority="362" operator="equal">
      <formula>TRUE</formula>
    </cfRule>
  </conditionalFormatting>
  <conditionalFormatting sqref="F7">
    <cfRule type="cellIs" dxfId="347" priority="359" operator="equal">
      <formula>FALSE</formula>
    </cfRule>
    <cfRule type="cellIs" dxfId="346" priority="360" operator="equal">
      <formula>TRUE</formula>
    </cfRule>
  </conditionalFormatting>
  <conditionalFormatting sqref="F35">
    <cfRule type="cellIs" dxfId="345" priority="357" operator="equal">
      <formula>FALSE</formula>
    </cfRule>
    <cfRule type="cellIs" dxfId="344" priority="358" operator="equal">
      <formula>TRUE</formula>
    </cfRule>
  </conditionalFormatting>
  <conditionalFormatting sqref="F209">
    <cfRule type="cellIs" dxfId="343" priority="355" operator="equal">
      <formula>FALSE</formula>
    </cfRule>
    <cfRule type="cellIs" dxfId="342" priority="356" operator="equal">
      <formula>TRUE</formula>
    </cfRule>
  </conditionalFormatting>
  <conditionalFormatting sqref="F211">
    <cfRule type="cellIs" dxfId="341" priority="353" operator="equal">
      <formula>FALSE</formula>
    </cfRule>
    <cfRule type="cellIs" dxfId="340" priority="354" operator="equal">
      <formula>TRUE</formula>
    </cfRule>
  </conditionalFormatting>
  <conditionalFormatting sqref="F213">
    <cfRule type="cellIs" dxfId="339" priority="351" operator="equal">
      <formula>FALSE</formula>
    </cfRule>
    <cfRule type="cellIs" dxfId="338" priority="352" operator="equal">
      <formula>TRUE</formula>
    </cfRule>
  </conditionalFormatting>
  <conditionalFormatting sqref="F125">
    <cfRule type="cellIs" dxfId="337" priority="349" operator="equal">
      <formula>FALSE</formula>
    </cfRule>
    <cfRule type="cellIs" dxfId="336" priority="350" operator="equal">
      <formula>TRUE</formula>
    </cfRule>
  </conditionalFormatting>
  <conditionalFormatting sqref="F9">
    <cfRule type="cellIs" dxfId="335" priority="347" operator="equal">
      <formula>FALSE</formula>
    </cfRule>
    <cfRule type="cellIs" dxfId="334" priority="348" operator="equal">
      <formula>TRUE</formula>
    </cfRule>
  </conditionalFormatting>
  <conditionalFormatting sqref="F11">
    <cfRule type="cellIs" dxfId="333" priority="345" operator="equal">
      <formula>FALSE</formula>
    </cfRule>
    <cfRule type="cellIs" dxfId="332" priority="346" operator="equal">
      <formula>TRUE</formula>
    </cfRule>
  </conditionalFormatting>
  <conditionalFormatting sqref="F13">
    <cfRule type="cellIs" dxfId="331" priority="343" operator="equal">
      <formula>FALSE</formula>
    </cfRule>
    <cfRule type="cellIs" dxfId="330" priority="344" operator="equal">
      <formula>TRUE</formula>
    </cfRule>
  </conditionalFormatting>
  <conditionalFormatting sqref="F15">
    <cfRule type="cellIs" dxfId="329" priority="341" operator="equal">
      <formula>FALSE</formula>
    </cfRule>
    <cfRule type="cellIs" dxfId="328" priority="342" operator="equal">
      <formula>TRUE</formula>
    </cfRule>
  </conditionalFormatting>
  <conditionalFormatting sqref="F17">
    <cfRule type="cellIs" dxfId="327" priority="339" operator="equal">
      <formula>FALSE</formula>
    </cfRule>
    <cfRule type="cellIs" dxfId="326" priority="340" operator="equal">
      <formula>TRUE</formula>
    </cfRule>
  </conditionalFormatting>
  <conditionalFormatting sqref="F19">
    <cfRule type="cellIs" dxfId="325" priority="337" operator="equal">
      <formula>FALSE</formula>
    </cfRule>
    <cfRule type="cellIs" dxfId="324" priority="338" operator="equal">
      <formula>TRUE</formula>
    </cfRule>
  </conditionalFormatting>
  <conditionalFormatting sqref="F21">
    <cfRule type="cellIs" dxfId="323" priority="335" operator="equal">
      <formula>FALSE</formula>
    </cfRule>
    <cfRule type="cellIs" dxfId="322" priority="336" operator="equal">
      <formula>TRUE</formula>
    </cfRule>
  </conditionalFormatting>
  <conditionalFormatting sqref="F23">
    <cfRule type="cellIs" dxfId="321" priority="333" operator="equal">
      <formula>FALSE</formula>
    </cfRule>
    <cfRule type="cellIs" dxfId="320" priority="334" operator="equal">
      <formula>TRUE</formula>
    </cfRule>
  </conditionalFormatting>
  <conditionalFormatting sqref="F25">
    <cfRule type="cellIs" dxfId="319" priority="331" operator="equal">
      <formula>FALSE</formula>
    </cfRule>
    <cfRule type="cellIs" dxfId="318" priority="332" operator="equal">
      <formula>TRUE</formula>
    </cfRule>
  </conditionalFormatting>
  <conditionalFormatting sqref="F27">
    <cfRule type="cellIs" dxfId="317" priority="329" operator="equal">
      <formula>FALSE</formula>
    </cfRule>
    <cfRule type="cellIs" dxfId="316" priority="330" operator="equal">
      <formula>TRUE</formula>
    </cfRule>
  </conditionalFormatting>
  <conditionalFormatting sqref="F29">
    <cfRule type="cellIs" dxfId="315" priority="327" operator="equal">
      <formula>FALSE</formula>
    </cfRule>
    <cfRule type="cellIs" dxfId="314" priority="328" operator="equal">
      <formula>TRUE</formula>
    </cfRule>
  </conditionalFormatting>
  <conditionalFormatting sqref="F31">
    <cfRule type="cellIs" dxfId="313" priority="325" operator="equal">
      <formula>FALSE</formula>
    </cfRule>
    <cfRule type="cellIs" dxfId="312" priority="326" operator="equal">
      <formula>TRUE</formula>
    </cfRule>
  </conditionalFormatting>
  <conditionalFormatting sqref="F33">
    <cfRule type="cellIs" dxfId="311" priority="323" operator="equal">
      <formula>FALSE</formula>
    </cfRule>
    <cfRule type="cellIs" dxfId="310" priority="324" operator="equal">
      <formula>TRUE</formula>
    </cfRule>
  </conditionalFormatting>
  <conditionalFormatting sqref="F177">
    <cfRule type="cellIs" dxfId="309" priority="321" operator="equal">
      <formula>FALSE</formula>
    </cfRule>
    <cfRule type="cellIs" dxfId="308" priority="322" operator="equal">
      <formula>TRUE</formula>
    </cfRule>
  </conditionalFormatting>
  <conditionalFormatting sqref="F37">
    <cfRule type="cellIs" dxfId="307" priority="319" operator="equal">
      <formula>FALSE</formula>
    </cfRule>
    <cfRule type="cellIs" dxfId="306" priority="320" operator="equal">
      <formula>TRUE</formula>
    </cfRule>
  </conditionalFormatting>
  <conditionalFormatting sqref="F39">
    <cfRule type="cellIs" dxfId="305" priority="317" operator="equal">
      <formula>FALSE</formula>
    </cfRule>
    <cfRule type="cellIs" dxfId="304" priority="318" operator="equal">
      <formula>TRUE</formula>
    </cfRule>
  </conditionalFormatting>
  <conditionalFormatting sqref="F41">
    <cfRule type="cellIs" dxfId="303" priority="315" operator="equal">
      <formula>FALSE</formula>
    </cfRule>
    <cfRule type="cellIs" dxfId="302" priority="316" operator="equal">
      <formula>TRUE</formula>
    </cfRule>
  </conditionalFormatting>
  <conditionalFormatting sqref="F43">
    <cfRule type="cellIs" dxfId="301" priority="313" operator="equal">
      <formula>FALSE</formula>
    </cfRule>
    <cfRule type="cellIs" dxfId="300" priority="314" operator="equal">
      <formula>TRUE</formula>
    </cfRule>
  </conditionalFormatting>
  <conditionalFormatting sqref="F45">
    <cfRule type="cellIs" dxfId="299" priority="311" operator="equal">
      <formula>FALSE</formula>
    </cfRule>
    <cfRule type="cellIs" dxfId="298" priority="312" operator="equal">
      <formula>TRUE</formula>
    </cfRule>
  </conditionalFormatting>
  <conditionalFormatting sqref="F49">
    <cfRule type="cellIs" dxfId="297" priority="309" operator="equal">
      <formula>FALSE</formula>
    </cfRule>
    <cfRule type="cellIs" dxfId="296" priority="310" operator="equal">
      <formula>TRUE</formula>
    </cfRule>
  </conditionalFormatting>
  <conditionalFormatting sqref="F51">
    <cfRule type="cellIs" dxfId="295" priority="307" operator="equal">
      <formula>FALSE</formula>
    </cfRule>
    <cfRule type="cellIs" dxfId="294" priority="308" operator="equal">
      <formula>TRUE</formula>
    </cfRule>
  </conditionalFormatting>
  <conditionalFormatting sqref="F53">
    <cfRule type="cellIs" dxfId="293" priority="305" operator="equal">
      <formula>FALSE</formula>
    </cfRule>
    <cfRule type="cellIs" dxfId="292" priority="306" operator="equal">
      <formula>TRUE</formula>
    </cfRule>
  </conditionalFormatting>
  <conditionalFormatting sqref="F57">
    <cfRule type="cellIs" dxfId="291" priority="303" operator="equal">
      <formula>FALSE</formula>
    </cfRule>
    <cfRule type="cellIs" dxfId="290" priority="304" operator="equal">
      <formula>TRUE</formula>
    </cfRule>
  </conditionalFormatting>
  <conditionalFormatting sqref="F59">
    <cfRule type="cellIs" dxfId="289" priority="301" operator="equal">
      <formula>FALSE</formula>
    </cfRule>
    <cfRule type="cellIs" dxfId="288" priority="302" operator="equal">
      <formula>TRUE</formula>
    </cfRule>
  </conditionalFormatting>
  <conditionalFormatting sqref="F61">
    <cfRule type="cellIs" dxfId="287" priority="299" operator="equal">
      <formula>FALSE</formula>
    </cfRule>
    <cfRule type="cellIs" dxfId="286" priority="300" operator="equal">
      <formula>TRUE</formula>
    </cfRule>
  </conditionalFormatting>
  <conditionalFormatting sqref="F63">
    <cfRule type="cellIs" dxfId="285" priority="297" operator="equal">
      <formula>FALSE</formula>
    </cfRule>
    <cfRule type="cellIs" dxfId="284" priority="298" operator="equal">
      <formula>TRUE</formula>
    </cfRule>
  </conditionalFormatting>
  <conditionalFormatting sqref="F65">
    <cfRule type="cellIs" dxfId="283" priority="295" operator="equal">
      <formula>FALSE</formula>
    </cfRule>
    <cfRule type="cellIs" dxfId="282" priority="296" operator="equal">
      <formula>TRUE</formula>
    </cfRule>
  </conditionalFormatting>
  <conditionalFormatting sqref="F67">
    <cfRule type="cellIs" dxfId="281" priority="293" operator="equal">
      <formula>FALSE</formula>
    </cfRule>
    <cfRule type="cellIs" dxfId="280" priority="294" operator="equal">
      <formula>TRUE</formula>
    </cfRule>
  </conditionalFormatting>
  <conditionalFormatting sqref="F69">
    <cfRule type="cellIs" dxfId="279" priority="291" operator="equal">
      <formula>FALSE</formula>
    </cfRule>
    <cfRule type="cellIs" dxfId="278" priority="292" operator="equal">
      <formula>TRUE</formula>
    </cfRule>
  </conditionalFormatting>
  <conditionalFormatting sqref="F71">
    <cfRule type="cellIs" dxfId="277" priority="289" operator="equal">
      <formula>FALSE</formula>
    </cfRule>
    <cfRule type="cellIs" dxfId="276" priority="290" operator="equal">
      <formula>TRUE</formula>
    </cfRule>
  </conditionalFormatting>
  <conditionalFormatting sqref="F73">
    <cfRule type="cellIs" dxfId="275" priority="287" operator="equal">
      <formula>FALSE</formula>
    </cfRule>
    <cfRule type="cellIs" dxfId="274" priority="288" operator="equal">
      <formula>TRUE</formula>
    </cfRule>
  </conditionalFormatting>
  <conditionalFormatting sqref="F75">
    <cfRule type="cellIs" dxfId="273" priority="285" operator="equal">
      <formula>FALSE</formula>
    </cfRule>
    <cfRule type="cellIs" dxfId="272" priority="286" operator="equal">
      <formula>TRUE</formula>
    </cfRule>
  </conditionalFormatting>
  <conditionalFormatting sqref="F77">
    <cfRule type="cellIs" dxfId="271" priority="283" operator="equal">
      <formula>FALSE</formula>
    </cfRule>
    <cfRule type="cellIs" dxfId="270" priority="284" operator="equal">
      <formula>TRUE</formula>
    </cfRule>
  </conditionalFormatting>
  <conditionalFormatting sqref="F55">
    <cfRule type="cellIs" dxfId="269" priority="281" operator="equal">
      <formula>FALSE</formula>
    </cfRule>
    <cfRule type="cellIs" dxfId="268" priority="282" operator="equal">
      <formula>TRUE</formula>
    </cfRule>
  </conditionalFormatting>
  <conditionalFormatting sqref="F79">
    <cfRule type="cellIs" dxfId="267" priority="279" operator="equal">
      <formula>FALSE</formula>
    </cfRule>
    <cfRule type="cellIs" dxfId="266" priority="280" operator="equal">
      <formula>TRUE</formula>
    </cfRule>
  </conditionalFormatting>
  <conditionalFormatting sqref="F81">
    <cfRule type="cellIs" dxfId="265" priority="277" operator="equal">
      <formula>FALSE</formula>
    </cfRule>
    <cfRule type="cellIs" dxfId="264" priority="278" operator="equal">
      <formula>TRUE</formula>
    </cfRule>
  </conditionalFormatting>
  <conditionalFormatting sqref="F83">
    <cfRule type="cellIs" dxfId="263" priority="275" operator="equal">
      <formula>FALSE</formula>
    </cfRule>
    <cfRule type="cellIs" dxfId="262" priority="276" operator="equal">
      <formula>TRUE</formula>
    </cfRule>
  </conditionalFormatting>
  <conditionalFormatting sqref="F87">
    <cfRule type="cellIs" dxfId="261" priority="271" operator="equal">
      <formula>FALSE</formula>
    </cfRule>
    <cfRule type="cellIs" dxfId="260" priority="272" operator="equal">
      <formula>TRUE</formula>
    </cfRule>
  </conditionalFormatting>
  <conditionalFormatting sqref="F91 F95 F99">
    <cfRule type="cellIs" dxfId="259" priority="267" operator="equal">
      <formula>FALSE</formula>
    </cfRule>
    <cfRule type="cellIs" dxfId="258" priority="268" operator="equal">
      <formula>TRUE</formula>
    </cfRule>
  </conditionalFormatting>
  <conditionalFormatting sqref="F89 F93 F97">
    <cfRule type="cellIs" dxfId="257" priority="269" operator="equal">
      <formula>FALSE</formula>
    </cfRule>
    <cfRule type="cellIs" dxfId="256" priority="270" operator="equal">
      <formula>TRUE</formula>
    </cfRule>
  </conditionalFormatting>
  <conditionalFormatting sqref="F119">
    <cfRule type="cellIs" dxfId="255" priority="243" operator="equal">
      <formula>FALSE</formula>
    </cfRule>
    <cfRule type="cellIs" dxfId="254" priority="244" operator="equal">
      <formula>TRUE</formula>
    </cfRule>
  </conditionalFormatting>
  <conditionalFormatting sqref="F101">
    <cfRule type="cellIs" dxfId="253" priority="257" operator="equal">
      <formula>FALSE</formula>
    </cfRule>
    <cfRule type="cellIs" dxfId="252" priority="258" operator="equal">
      <formula>TRUE</formula>
    </cfRule>
  </conditionalFormatting>
  <conditionalFormatting sqref="F103">
    <cfRule type="cellIs" dxfId="251" priority="255" operator="equal">
      <formula>FALSE</formula>
    </cfRule>
    <cfRule type="cellIs" dxfId="250" priority="256" operator="equal">
      <formula>TRUE</formula>
    </cfRule>
  </conditionalFormatting>
  <conditionalFormatting sqref="F107">
    <cfRule type="cellIs" dxfId="249" priority="251" operator="equal">
      <formula>FALSE</formula>
    </cfRule>
    <cfRule type="cellIs" dxfId="248" priority="252" operator="equal">
      <formula>TRUE</formula>
    </cfRule>
  </conditionalFormatting>
  <conditionalFormatting sqref="F105">
    <cfRule type="cellIs" dxfId="247" priority="253" operator="equal">
      <formula>FALSE</formula>
    </cfRule>
    <cfRule type="cellIs" dxfId="246" priority="254" operator="equal">
      <formula>TRUE</formula>
    </cfRule>
  </conditionalFormatting>
  <conditionalFormatting sqref="F111">
    <cfRule type="cellIs" dxfId="245" priority="239" operator="equal">
      <formula>FALSE</formula>
    </cfRule>
    <cfRule type="cellIs" dxfId="244" priority="240" operator="equal">
      <formula>TRUE</formula>
    </cfRule>
  </conditionalFormatting>
  <conditionalFormatting sqref="F113">
    <cfRule type="cellIs" dxfId="243" priority="249" operator="equal">
      <formula>FALSE</formula>
    </cfRule>
    <cfRule type="cellIs" dxfId="242" priority="250" operator="equal">
      <formula>TRUE</formula>
    </cfRule>
  </conditionalFormatting>
  <conditionalFormatting sqref="F115">
    <cfRule type="cellIs" dxfId="241" priority="247" operator="equal">
      <formula>FALSE</formula>
    </cfRule>
    <cfRule type="cellIs" dxfId="240" priority="248" operator="equal">
      <formula>TRUE</formula>
    </cfRule>
  </conditionalFormatting>
  <conditionalFormatting sqref="F117">
    <cfRule type="cellIs" dxfId="239" priority="245" operator="equal">
      <formula>FALSE</formula>
    </cfRule>
    <cfRule type="cellIs" dxfId="238" priority="246" operator="equal">
      <formula>TRUE</formula>
    </cfRule>
  </conditionalFormatting>
  <conditionalFormatting sqref="F109">
    <cfRule type="cellIs" dxfId="237" priority="241" operator="equal">
      <formula>FALSE</formula>
    </cfRule>
    <cfRule type="cellIs" dxfId="236" priority="242" operator="equal">
      <formula>TRUE</formula>
    </cfRule>
  </conditionalFormatting>
  <conditionalFormatting sqref="F127">
    <cfRule type="cellIs" dxfId="235" priority="237" operator="equal">
      <formula>FALSE</formula>
    </cfRule>
    <cfRule type="cellIs" dxfId="234" priority="238" operator="equal">
      <formula>TRUE</formula>
    </cfRule>
  </conditionalFormatting>
  <conditionalFormatting sqref="F131">
    <cfRule type="cellIs" dxfId="233" priority="233" operator="equal">
      <formula>FALSE</formula>
    </cfRule>
    <cfRule type="cellIs" dxfId="232" priority="234" operator="equal">
      <formula>TRUE</formula>
    </cfRule>
  </conditionalFormatting>
  <conditionalFormatting sqref="F129">
    <cfRule type="cellIs" dxfId="231" priority="235" operator="equal">
      <formula>FALSE</formula>
    </cfRule>
    <cfRule type="cellIs" dxfId="230" priority="236" operator="equal">
      <formula>TRUE</formula>
    </cfRule>
  </conditionalFormatting>
  <conditionalFormatting sqref="F123">
    <cfRule type="cellIs" dxfId="229" priority="229" operator="equal">
      <formula>FALSE</formula>
    </cfRule>
    <cfRule type="cellIs" dxfId="228" priority="230" operator="equal">
      <formula>TRUE</formula>
    </cfRule>
  </conditionalFormatting>
  <conditionalFormatting sqref="F121">
    <cfRule type="cellIs" dxfId="227" priority="231" operator="equal">
      <formula>FALSE</formula>
    </cfRule>
    <cfRule type="cellIs" dxfId="226" priority="232" operator="equal">
      <formula>TRUE</formula>
    </cfRule>
  </conditionalFormatting>
  <conditionalFormatting sqref="F135">
    <cfRule type="cellIs" dxfId="225" priority="217" operator="equal">
      <formula>FALSE</formula>
    </cfRule>
    <cfRule type="cellIs" dxfId="224" priority="218" operator="equal">
      <formula>TRUE</formula>
    </cfRule>
  </conditionalFormatting>
  <conditionalFormatting sqref="F137">
    <cfRule type="cellIs" dxfId="223" priority="227" operator="equal">
      <formula>FALSE</formula>
    </cfRule>
    <cfRule type="cellIs" dxfId="222" priority="228" operator="equal">
      <formula>TRUE</formula>
    </cfRule>
  </conditionalFormatting>
  <conditionalFormatting sqref="F139">
    <cfRule type="cellIs" dxfId="221" priority="225" operator="equal">
      <formula>FALSE</formula>
    </cfRule>
    <cfRule type="cellIs" dxfId="220" priority="226" operator="equal">
      <formula>TRUE</formula>
    </cfRule>
  </conditionalFormatting>
  <conditionalFormatting sqref="F143">
    <cfRule type="cellIs" dxfId="219" priority="221" operator="equal">
      <formula>FALSE</formula>
    </cfRule>
    <cfRule type="cellIs" dxfId="218" priority="222" operator="equal">
      <formula>TRUE</formula>
    </cfRule>
  </conditionalFormatting>
  <conditionalFormatting sqref="F141">
    <cfRule type="cellIs" dxfId="217" priority="223" operator="equal">
      <formula>FALSE</formula>
    </cfRule>
    <cfRule type="cellIs" dxfId="216" priority="224" operator="equal">
      <formula>TRUE</formula>
    </cfRule>
  </conditionalFormatting>
  <conditionalFormatting sqref="F149">
    <cfRule type="cellIs" dxfId="215" priority="211" operator="equal">
      <formula>FALSE</formula>
    </cfRule>
    <cfRule type="cellIs" dxfId="214" priority="212" operator="equal">
      <formula>TRUE</formula>
    </cfRule>
  </conditionalFormatting>
  <conditionalFormatting sqref="F133">
    <cfRule type="cellIs" dxfId="213" priority="219" operator="equal">
      <formula>FALSE</formula>
    </cfRule>
    <cfRule type="cellIs" dxfId="212" priority="220" operator="equal">
      <formula>TRUE</formula>
    </cfRule>
  </conditionalFormatting>
  <conditionalFormatting sqref="F145">
    <cfRule type="cellIs" dxfId="211" priority="215" operator="equal">
      <formula>FALSE</formula>
    </cfRule>
    <cfRule type="cellIs" dxfId="210" priority="216" operator="equal">
      <formula>TRUE</formula>
    </cfRule>
  </conditionalFormatting>
  <conditionalFormatting sqref="F157">
    <cfRule type="cellIs" dxfId="209" priority="203" operator="equal">
      <formula>FALSE</formula>
    </cfRule>
    <cfRule type="cellIs" dxfId="208" priority="204" operator="equal">
      <formula>TRUE</formula>
    </cfRule>
  </conditionalFormatting>
  <conditionalFormatting sqref="F147">
    <cfRule type="cellIs" dxfId="207" priority="213" operator="equal">
      <formula>FALSE</formula>
    </cfRule>
    <cfRule type="cellIs" dxfId="206" priority="214" operator="equal">
      <formula>TRUE</formula>
    </cfRule>
  </conditionalFormatting>
  <conditionalFormatting sqref="F153">
    <cfRule type="cellIs" dxfId="205" priority="207" operator="equal">
      <formula>FALSE</formula>
    </cfRule>
    <cfRule type="cellIs" dxfId="204" priority="208" operator="equal">
      <formula>TRUE</formula>
    </cfRule>
  </conditionalFormatting>
  <conditionalFormatting sqref="F151">
    <cfRule type="cellIs" dxfId="203" priority="209" operator="equal">
      <formula>FALSE</formula>
    </cfRule>
    <cfRule type="cellIs" dxfId="202" priority="210" operator="equal">
      <formula>TRUE</formula>
    </cfRule>
  </conditionalFormatting>
  <conditionalFormatting sqref="F155">
    <cfRule type="cellIs" dxfId="201" priority="205" operator="equal">
      <formula>FALSE</formula>
    </cfRule>
    <cfRule type="cellIs" dxfId="200" priority="206" operator="equal">
      <formula>TRUE</formula>
    </cfRule>
  </conditionalFormatting>
  <conditionalFormatting sqref="F165">
    <cfRule type="cellIs" dxfId="199" priority="195" operator="equal">
      <formula>FALSE</formula>
    </cfRule>
    <cfRule type="cellIs" dxfId="198" priority="196" operator="equal">
      <formula>TRUE</formula>
    </cfRule>
  </conditionalFormatting>
  <conditionalFormatting sqref="F175">
    <cfRule type="cellIs" dxfId="197" priority="185" operator="equal">
      <formula>FALSE</formula>
    </cfRule>
    <cfRule type="cellIs" dxfId="196" priority="186" operator="equal">
      <formula>TRUE</formula>
    </cfRule>
  </conditionalFormatting>
  <conditionalFormatting sqref="F161">
    <cfRule type="cellIs" dxfId="195" priority="199" operator="equal">
      <formula>FALSE</formula>
    </cfRule>
    <cfRule type="cellIs" dxfId="194" priority="200" operator="equal">
      <formula>TRUE</formula>
    </cfRule>
  </conditionalFormatting>
  <conditionalFormatting sqref="F159">
    <cfRule type="cellIs" dxfId="193" priority="201" operator="equal">
      <formula>FALSE</formula>
    </cfRule>
    <cfRule type="cellIs" dxfId="192" priority="202" operator="equal">
      <formula>TRUE</formula>
    </cfRule>
  </conditionalFormatting>
  <conditionalFormatting sqref="F163">
    <cfRule type="cellIs" dxfId="191" priority="197" operator="equal">
      <formula>FALSE</formula>
    </cfRule>
    <cfRule type="cellIs" dxfId="190" priority="198" operator="equal">
      <formula>TRUE</formula>
    </cfRule>
  </conditionalFormatting>
  <conditionalFormatting sqref="F167">
    <cfRule type="cellIs" dxfId="189" priority="193" operator="equal">
      <formula>FALSE</formula>
    </cfRule>
    <cfRule type="cellIs" dxfId="188" priority="194" operator="equal">
      <formula>TRUE</formula>
    </cfRule>
  </conditionalFormatting>
  <conditionalFormatting sqref="F179">
    <cfRule type="cellIs" dxfId="187" priority="183" operator="equal">
      <formula>FALSE</formula>
    </cfRule>
    <cfRule type="cellIs" dxfId="186" priority="184" operator="equal">
      <formula>TRUE</formula>
    </cfRule>
  </conditionalFormatting>
  <conditionalFormatting sqref="F171">
    <cfRule type="cellIs" dxfId="185" priority="189" operator="equal">
      <formula>FALSE</formula>
    </cfRule>
    <cfRule type="cellIs" dxfId="184" priority="190" operator="equal">
      <formula>TRUE</formula>
    </cfRule>
  </conditionalFormatting>
  <conditionalFormatting sqref="F169">
    <cfRule type="cellIs" dxfId="183" priority="191" operator="equal">
      <formula>FALSE</formula>
    </cfRule>
    <cfRule type="cellIs" dxfId="182" priority="192" operator="equal">
      <formula>TRUE</formula>
    </cfRule>
  </conditionalFormatting>
  <conditionalFormatting sqref="F173">
    <cfRule type="cellIs" dxfId="181" priority="187" operator="equal">
      <formula>FALSE</formula>
    </cfRule>
    <cfRule type="cellIs" dxfId="180" priority="188" operator="equal">
      <formula>TRUE</formula>
    </cfRule>
  </conditionalFormatting>
  <conditionalFormatting sqref="F183">
    <cfRule type="cellIs" dxfId="179" priority="179" operator="equal">
      <formula>FALSE</formula>
    </cfRule>
    <cfRule type="cellIs" dxfId="178" priority="180" operator="equal">
      <formula>TRUE</formula>
    </cfRule>
  </conditionalFormatting>
  <conditionalFormatting sqref="F181">
    <cfRule type="cellIs" dxfId="177" priority="181" operator="equal">
      <formula>FALSE</formula>
    </cfRule>
    <cfRule type="cellIs" dxfId="176" priority="182" operator="equal">
      <formula>TRUE</formula>
    </cfRule>
  </conditionalFormatting>
  <conditionalFormatting sqref="F191">
    <cfRule type="cellIs" dxfId="175" priority="171" operator="equal">
      <formula>FALSE</formula>
    </cfRule>
    <cfRule type="cellIs" dxfId="174" priority="172" operator="equal">
      <formula>TRUE</formula>
    </cfRule>
  </conditionalFormatting>
  <conditionalFormatting sqref="F185">
    <cfRule type="cellIs" dxfId="173" priority="177" operator="equal">
      <formula>FALSE</formula>
    </cfRule>
    <cfRule type="cellIs" dxfId="172" priority="178" operator="equal">
      <formula>TRUE</formula>
    </cfRule>
  </conditionalFormatting>
  <conditionalFormatting sqref="F187">
    <cfRule type="cellIs" dxfId="171" priority="175" operator="equal">
      <formula>FALSE</formula>
    </cfRule>
    <cfRule type="cellIs" dxfId="170" priority="176" operator="equal">
      <formula>TRUE</formula>
    </cfRule>
  </conditionalFormatting>
  <conditionalFormatting sqref="F193">
    <cfRule type="cellIs" dxfId="169" priority="169" operator="equal">
      <formula>FALSE</formula>
    </cfRule>
    <cfRule type="cellIs" dxfId="168" priority="170" operator="equal">
      <formula>TRUE</formula>
    </cfRule>
  </conditionalFormatting>
  <conditionalFormatting sqref="F189">
    <cfRule type="cellIs" dxfId="167" priority="173" operator="equal">
      <formula>FALSE</formula>
    </cfRule>
    <cfRule type="cellIs" dxfId="166" priority="174" operator="equal">
      <formula>TRUE</formula>
    </cfRule>
  </conditionalFormatting>
  <conditionalFormatting sqref="F195">
    <cfRule type="cellIs" dxfId="165" priority="167" operator="equal">
      <formula>FALSE</formula>
    </cfRule>
    <cfRule type="cellIs" dxfId="164" priority="168" operator="equal">
      <formula>TRUE</formula>
    </cfRule>
  </conditionalFormatting>
  <conditionalFormatting sqref="F199">
    <cfRule type="cellIs" dxfId="163" priority="163" operator="equal">
      <formula>FALSE</formula>
    </cfRule>
    <cfRule type="cellIs" dxfId="162" priority="164" operator="equal">
      <formula>TRUE</formula>
    </cfRule>
  </conditionalFormatting>
  <conditionalFormatting sqref="F197">
    <cfRule type="cellIs" dxfId="161" priority="165" operator="equal">
      <formula>FALSE</formula>
    </cfRule>
    <cfRule type="cellIs" dxfId="160" priority="166" operator="equal">
      <formula>TRUE</formula>
    </cfRule>
  </conditionalFormatting>
  <conditionalFormatting sqref="F207">
    <cfRule type="cellIs" dxfId="159" priority="155" operator="equal">
      <formula>FALSE</formula>
    </cfRule>
    <cfRule type="cellIs" dxfId="158" priority="156" operator="equal">
      <formula>TRUE</formula>
    </cfRule>
  </conditionalFormatting>
  <conditionalFormatting sqref="F201">
    <cfRule type="cellIs" dxfId="157" priority="161" operator="equal">
      <formula>FALSE</formula>
    </cfRule>
    <cfRule type="cellIs" dxfId="156" priority="162" operator="equal">
      <formula>TRUE</formula>
    </cfRule>
  </conditionalFormatting>
  <conditionalFormatting sqref="F203">
    <cfRule type="cellIs" dxfId="155" priority="159" operator="equal">
      <formula>FALSE</formula>
    </cfRule>
    <cfRule type="cellIs" dxfId="154" priority="160" operator="equal">
      <formula>TRUE</formula>
    </cfRule>
  </conditionalFormatting>
  <conditionalFormatting sqref="F205">
    <cfRule type="cellIs" dxfId="153" priority="157" operator="equal">
      <formula>FALSE</formula>
    </cfRule>
    <cfRule type="cellIs" dxfId="152" priority="158" operator="equal">
      <formula>TRUE</formula>
    </cfRule>
  </conditionalFormatting>
  <conditionalFormatting sqref="F215">
    <cfRule type="cellIs" dxfId="151" priority="153" operator="equal">
      <formula>FALSE</formula>
    </cfRule>
    <cfRule type="cellIs" dxfId="150" priority="154" operator="equal">
      <formula>TRUE</formula>
    </cfRule>
  </conditionalFormatting>
  <conditionalFormatting sqref="F217">
    <cfRule type="cellIs" dxfId="149" priority="151" operator="equal">
      <formula>FALSE</formula>
    </cfRule>
    <cfRule type="cellIs" dxfId="148" priority="152" operator="equal">
      <formula>TRUE</formula>
    </cfRule>
  </conditionalFormatting>
  <conditionalFormatting sqref="F219">
    <cfRule type="cellIs" dxfId="147" priority="149" operator="equal">
      <formula>FALSE</formula>
    </cfRule>
    <cfRule type="cellIs" dxfId="146" priority="150" operator="equal">
      <formula>TRUE</formula>
    </cfRule>
  </conditionalFormatting>
  <conditionalFormatting sqref="F225">
    <cfRule type="cellIs" dxfId="145" priority="145" operator="equal">
      <formula>FALSE</formula>
    </cfRule>
    <cfRule type="cellIs" dxfId="144" priority="146" operator="equal">
      <formula>TRUE</formula>
    </cfRule>
  </conditionalFormatting>
  <conditionalFormatting sqref="F223">
    <cfRule type="cellIs" dxfId="143" priority="147" operator="equal">
      <formula>FALSE</formula>
    </cfRule>
    <cfRule type="cellIs" dxfId="142" priority="148" operator="equal">
      <formula>TRUE</formula>
    </cfRule>
  </conditionalFormatting>
  <conditionalFormatting sqref="F227">
    <cfRule type="cellIs" dxfId="141" priority="143" operator="equal">
      <formula>FALSE</formula>
    </cfRule>
    <cfRule type="cellIs" dxfId="140" priority="144" operator="equal">
      <formula>TRUE</formula>
    </cfRule>
  </conditionalFormatting>
  <conditionalFormatting sqref="F229">
    <cfRule type="cellIs" dxfId="139" priority="141" operator="equal">
      <formula>FALSE</formula>
    </cfRule>
    <cfRule type="cellIs" dxfId="138" priority="142" operator="equal">
      <formula>TRUE</formula>
    </cfRule>
  </conditionalFormatting>
  <conditionalFormatting sqref="F233">
    <cfRule type="cellIs" dxfId="137" priority="137" operator="equal">
      <formula>FALSE</formula>
    </cfRule>
    <cfRule type="cellIs" dxfId="136" priority="138" operator="equal">
      <formula>TRUE</formula>
    </cfRule>
  </conditionalFormatting>
  <conditionalFormatting sqref="F231">
    <cfRule type="cellIs" dxfId="135" priority="139" operator="equal">
      <formula>FALSE</formula>
    </cfRule>
    <cfRule type="cellIs" dxfId="134" priority="140" operator="equal">
      <formula>TRUE</formula>
    </cfRule>
  </conditionalFormatting>
  <conditionalFormatting sqref="F235">
    <cfRule type="cellIs" dxfId="133" priority="135" operator="equal">
      <formula>FALSE</formula>
    </cfRule>
    <cfRule type="cellIs" dxfId="132" priority="136" operator="equal">
      <formula>TRUE</formula>
    </cfRule>
  </conditionalFormatting>
  <conditionalFormatting sqref="F237">
    <cfRule type="cellIs" dxfId="131" priority="133" operator="equal">
      <formula>FALSE</formula>
    </cfRule>
    <cfRule type="cellIs" dxfId="130" priority="134" operator="equal">
      <formula>TRUE</formula>
    </cfRule>
  </conditionalFormatting>
  <conditionalFormatting sqref="F241">
    <cfRule type="cellIs" dxfId="129" priority="129" operator="equal">
      <formula>FALSE</formula>
    </cfRule>
    <cfRule type="cellIs" dxfId="128" priority="130" operator="equal">
      <formula>TRUE</formula>
    </cfRule>
  </conditionalFormatting>
  <conditionalFormatting sqref="F239">
    <cfRule type="cellIs" dxfId="127" priority="131" operator="equal">
      <formula>FALSE</formula>
    </cfRule>
    <cfRule type="cellIs" dxfId="126" priority="132" operator="equal">
      <formula>TRUE</formula>
    </cfRule>
  </conditionalFormatting>
  <conditionalFormatting sqref="F243">
    <cfRule type="cellIs" dxfId="125" priority="127" operator="equal">
      <formula>FALSE</formula>
    </cfRule>
    <cfRule type="cellIs" dxfId="124" priority="128" operator="equal">
      <formula>TRUE</formula>
    </cfRule>
  </conditionalFormatting>
  <conditionalFormatting sqref="F245">
    <cfRule type="cellIs" dxfId="123" priority="125" operator="equal">
      <formula>FALSE</formula>
    </cfRule>
    <cfRule type="cellIs" dxfId="122" priority="126" operator="equal">
      <formula>TRUE</formula>
    </cfRule>
  </conditionalFormatting>
  <conditionalFormatting sqref="F249">
    <cfRule type="cellIs" dxfId="121" priority="121" operator="equal">
      <formula>FALSE</formula>
    </cfRule>
    <cfRule type="cellIs" dxfId="120" priority="122" operator="equal">
      <formula>TRUE</formula>
    </cfRule>
  </conditionalFormatting>
  <conditionalFormatting sqref="F247">
    <cfRule type="cellIs" dxfId="119" priority="123" operator="equal">
      <formula>FALSE</formula>
    </cfRule>
    <cfRule type="cellIs" dxfId="118" priority="124" operator="equal">
      <formula>TRUE</formula>
    </cfRule>
  </conditionalFormatting>
  <conditionalFormatting sqref="F251">
    <cfRule type="cellIs" dxfId="117" priority="119" operator="equal">
      <formula>FALSE</formula>
    </cfRule>
    <cfRule type="cellIs" dxfId="116" priority="120" operator="equal">
      <formula>TRUE</formula>
    </cfRule>
  </conditionalFormatting>
  <conditionalFormatting sqref="F253">
    <cfRule type="cellIs" dxfId="115" priority="117" operator="equal">
      <formula>FALSE</formula>
    </cfRule>
    <cfRule type="cellIs" dxfId="114" priority="118" operator="equal">
      <formula>TRUE</formula>
    </cfRule>
  </conditionalFormatting>
  <conditionalFormatting sqref="F257">
    <cfRule type="cellIs" dxfId="113" priority="113" operator="equal">
      <formula>FALSE</formula>
    </cfRule>
    <cfRule type="cellIs" dxfId="112" priority="114" operator="equal">
      <formula>TRUE</formula>
    </cfRule>
  </conditionalFormatting>
  <conditionalFormatting sqref="F255">
    <cfRule type="cellIs" dxfId="111" priority="115" operator="equal">
      <formula>FALSE</formula>
    </cfRule>
    <cfRule type="cellIs" dxfId="110" priority="116" operator="equal">
      <formula>TRUE</formula>
    </cfRule>
  </conditionalFormatting>
  <conditionalFormatting sqref="F259">
    <cfRule type="cellIs" dxfId="109" priority="111" operator="equal">
      <formula>FALSE</formula>
    </cfRule>
    <cfRule type="cellIs" dxfId="108" priority="112" operator="equal">
      <formula>TRUE</formula>
    </cfRule>
  </conditionalFormatting>
  <conditionalFormatting sqref="F261">
    <cfRule type="cellIs" dxfId="107" priority="109" operator="equal">
      <formula>FALSE</formula>
    </cfRule>
    <cfRule type="cellIs" dxfId="106" priority="110" operator="equal">
      <formula>TRUE</formula>
    </cfRule>
  </conditionalFormatting>
  <conditionalFormatting sqref="F265">
    <cfRule type="cellIs" dxfId="105" priority="105" operator="equal">
      <formula>FALSE</formula>
    </cfRule>
    <cfRule type="cellIs" dxfId="104" priority="106" operator="equal">
      <formula>TRUE</formula>
    </cfRule>
  </conditionalFormatting>
  <conditionalFormatting sqref="F263">
    <cfRule type="cellIs" dxfId="103" priority="107" operator="equal">
      <formula>FALSE</formula>
    </cfRule>
    <cfRule type="cellIs" dxfId="102" priority="108" operator="equal">
      <formula>TRUE</formula>
    </cfRule>
  </conditionalFormatting>
  <conditionalFormatting sqref="F267">
    <cfRule type="cellIs" dxfId="101" priority="103" operator="equal">
      <formula>FALSE</formula>
    </cfRule>
    <cfRule type="cellIs" dxfId="100" priority="104" operator="equal">
      <formula>TRUE</formula>
    </cfRule>
  </conditionalFormatting>
  <conditionalFormatting sqref="F269">
    <cfRule type="cellIs" dxfId="99" priority="101" operator="equal">
      <formula>FALSE</formula>
    </cfRule>
    <cfRule type="cellIs" dxfId="98" priority="102" operator="equal">
      <formula>TRUE</formula>
    </cfRule>
  </conditionalFormatting>
  <conditionalFormatting sqref="F287">
    <cfRule type="cellIs" dxfId="97" priority="91" operator="equal">
      <formula>FALSE</formula>
    </cfRule>
    <cfRule type="cellIs" dxfId="96" priority="92" operator="equal">
      <formula>TRUE</formula>
    </cfRule>
  </conditionalFormatting>
  <conditionalFormatting sqref="F273">
    <cfRule type="cellIs" dxfId="95" priority="99" operator="equal">
      <formula>FALSE</formula>
    </cfRule>
    <cfRule type="cellIs" dxfId="94" priority="100" operator="equal">
      <formula>TRUE</formula>
    </cfRule>
  </conditionalFormatting>
  <conditionalFormatting sqref="F283">
    <cfRule type="cellIs" dxfId="93" priority="95" operator="equal">
      <formula>FALSE</formula>
    </cfRule>
    <cfRule type="cellIs" dxfId="92" priority="96" operator="equal">
      <formula>TRUE</formula>
    </cfRule>
  </conditionalFormatting>
  <conditionalFormatting sqref="F275">
    <cfRule type="cellIs" dxfId="91" priority="97" operator="equal">
      <formula>FALSE</formula>
    </cfRule>
    <cfRule type="cellIs" dxfId="90" priority="98" operator="equal">
      <formula>TRUE</formula>
    </cfRule>
  </conditionalFormatting>
  <conditionalFormatting sqref="F285">
    <cfRule type="cellIs" dxfId="89" priority="93" operator="equal">
      <formula>FALSE</formula>
    </cfRule>
    <cfRule type="cellIs" dxfId="88" priority="94" operator="equal">
      <formula>TRUE</formula>
    </cfRule>
  </conditionalFormatting>
  <conditionalFormatting sqref="F297">
    <cfRule type="cellIs" dxfId="87" priority="81" operator="equal">
      <formula>FALSE</formula>
    </cfRule>
    <cfRule type="cellIs" dxfId="86" priority="82" operator="equal">
      <formula>TRUE</formula>
    </cfRule>
  </conditionalFormatting>
  <conditionalFormatting sqref="F289">
    <cfRule type="cellIs" dxfId="85" priority="89" operator="equal">
      <formula>FALSE</formula>
    </cfRule>
    <cfRule type="cellIs" dxfId="84" priority="90" operator="equal">
      <formula>TRUE</formula>
    </cfRule>
  </conditionalFormatting>
  <conditionalFormatting sqref="F293">
    <cfRule type="cellIs" dxfId="83" priority="85" operator="equal">
      <formula>FALSE</formula>
    </cfRule>
    <cfRule type="cellIs" dxfId="82" priority="86" operator="equal">
      <formula>TRUE</formula>
    </cfRule>
  </conditionalFormatting>
  <conditionalFormatting sqref="F291">
    <cfRule type="cellIs" dxfId="81" priority="87" operator="equal">
      <formula>FALSE</formula>
    </cfRule>
    <cfRule type="cellIs" dxfId="80" priority="88" operator="equal">
      <formula>TRUE</formula>
    </cfRule>
  </conditionalFormatting>
  <conditionalFormatting sqref="F295">
    <cfRule type="cellIs" dxfId="79" priority="83" operator="equal">
      <formula>FALSE</formula>
    </cfRule>
    <cfRule type="cellIs" dxfId="78" priority="84" operator="equal">
      <formula>TRUE</formula>
    </cfRule>
  </conditionalFormatting>
  <conditionalFormatting sqref="F277">
    <cfRule type="cellIs" dxfId="77" priority="79" operator="equal">
      <formula>FALSE</formula>
    </cfRule>
    <cfRule type="cellIs" dxfId="76" priority="80" operator="equal">
      <formula>TRUE</formula>
    </cfRule>
  </conditionalFormatting>
  <conditionalFormatting sqref="F279">
    <cfRule type="cellIs" dxfId="75" priority="77" operator="equal">
      <formula>FALSE</formula>
    </cfRule>
    <cfRule type="cellIs" dxfId="74" priority="78" operator="equal">
      <formula>TRUE</formula>
    </cfRule>
  </conditionalFormatting>
  <conditionalFormatting sqref="F281">
    <cfRule type="cellIs" dxfId="73" priority="75" operator="equal">
      <formula>FALSE</formula>
    </cfRule>
    <cfRule type="cellIs" dxfId="72" priority="76" operator="equal">
      <formula>TRUE</formula>
    </cfRule>
  </conditionalFormatting>
  <conditionalFormatting sqref="F299">
    <cfRule type="cellIs" dxfId="71" priority="73" operator="equal">
      <formula>FALSE</formula>
    </cfRule>
    <cfRule type="cellIs" dxfId="70" priority="74" operator="equal">
      <formula>TRUE</formula>
    </cfRule>
  </conditionalFormatting>
  <conditionalFormatting sqref="F303">
    <cfRule type="cellIs" dxfId="69" priority="71" operator="equal">
      <formula>FALSE</formula>
    </cfRule>
    <cfRule type="cellIs" dxfId="68" priority="72" operator="equal">
      <formula>TRUE</formula>
    </cfRule>
  </conditionalFormatting>
  <conditionalFormatting sqref="F305">
    <cfRule type="cellIs" dxfId="67" priority="69" operator="equal">
      <formula>FALSE</formula>
    </cfRule>
    <cfRule type="cellIs" dxfId="66" priority="70" operator="equal">
      <formula>TRUE</formula>
    </cfRule>
  </conditionalFormatting>
  <conditionalFormatting sqref="F307">
    <cfRule type="cellIs" dxfId="65" priority="67" operator="equal">
      <formula>FALSE</formula>
    </cfRule>
    <cfRule type="cellIs" dxfId="64" priority="68" operator="equal">
      <formula>TRUE</formula>
    </cfRule>
  </conditionalFormatting>
  <conditionalFormatting sqref="F301">
    <cfRule type="cellIs" dxfId="63" priority="65" operator="equal">
      <formula>FALSE</formula>
    </cfRule>
    <cfRule type="cellIs" dxfId="62" priority="66" operator="equal">
      <formula>TRUE</formula>
    </cfRule>
  </conditionalFormatting>
  <conditionalFormatting sqref="F309">
    <cfRule type="cellIs" dxfId="61" priority="63" operator="equal">
      <formula>FALSE</formula>
    </cfRule>
    <cfRule type="cellIs" dxfId="60" priority="64" operator="equal">
      <formula>TRUE</formula>
    </cfRule>
  </conditionalFormatting>
  <conditionalFormatting sqref="F311">
    <cfRule type="cellIs" dxfId="59" priority="61" operator="equal">
      <formula>FALSE</formula>
    </cfRule>
    <cfRule type="cellIs" dxfId="58" priority="62" operator="equal">
      <formula>TRUE</formula>
    </cfRule>
  </conditionalFormatting>
  <conditionalFormatting sqref="F313">
    <cfRule type="cellIs" dxfId="57" priority="59" operator="equal">
      <formula>FALSE</formula>
    </cfRule>
    <cfRule type="cellIs" dxfId="56" priority="60" operator="equal">
      <formula>TRUE</formula>
    </cfRule>
  </conditionalFormatting>
  <conditionalFormatting sqref="F315">
    <cfRule type="cellIs" dxfId="55" priority="57" operator="equal">
      <formula>FALSE</formula>
    </cfRule>
    <cfRule type="cellIs" dxfId="54" priority="58" operator="equal">
      <formula>TRUE</formula>
    </cfRule>
  </conditionalFormatting>
  <conditionalFormatting sqref="F321">
    <cfRule type="cellIs" dxfId="53" priority="55" operator="equal">
      <formula>FALSE</formula>
    </cfRule>
    <cfRule type="cellIs" dxfId="52" priority="56" operator="equal">
      <formula>TRUE</formula>
    </cfRule>
  </conditionalFormatting>
  <conditionalFormatting sqref="F323">
    <cfRule type="cellIs" dxfId="51" priority="53" operator="equal">
      <formula>FALSE</formula>
    </cfRule>
    <cfRule type="cellIs" dxfId="50" priority="54" operator="equal">
      <formula>TRUE</formula>
    </cfRule>
  </conditionalFormatting>
  <conditionalFormatting sqref="F327">
    <cfRule type="cellIs" dxfId="49" priority="49" operator="equal">
      <formula>FALSE</formula>
    </cfRule>
    <cfRule type="cellIs" dxfId="48" priority="50" operator="equal">
      <formula>TRUE</formula>
    </cfRule>
  </conditionalFormatting>
  <conditionalFormatting sqref="F325">
    <cfRule type="cellIs" dxfId="47" priority="51" operator="equal">
      <formula>FALSE</formula>
    </cfRule>
    <cfRule type="cellIs" dxfId="46" priority="52" operator="equal">
      <formula>TRUE</formula>
    </cfRule>
  </conditionalFormatting>
  <conditionalFormatting sqref="F319">
    <cfRule type="cellIs" dxfId="45" priority="45" operator="equal">
      <formula>FALSE</formula>
    </cfRule>
    <cfRule type="cellIs" dxfId="44" priority="46" operator="equal">
      <formula>TRUE</formula>
    </cfRule>
  </conditionalFormatting>
  <conditionalFormatting sqref="F317">
    <cfRule type="cellIs" dxfId="43" priority="47" operator="equal">
      <formula>FALSE</formula>
    </cfRule>
    <cfRule type="cellIs" dxfId="42" priority="48" operator="equal">
      <formula>TRUE</formula>
    </cfRule>
  </conditionalFormatting>
  <conditionalFormatting sqref="F331">
    <cfRule type="cellIs" dxfId="41" priority="33" operator="equal">
      <formula>FALSE</formula>
    </cfRule>
    <cfRule type="cellIs" dxfId="40" priority="34" operator="equal">
      <formula>TRUE</formula>
    </cfRule>
  </conditionalFormatting>
  <conditionalFormatting sqref="F333">
    <cfRule type="cellIs" dxfId="39" priority="43" operator="equal">
      <formula>FALSE</formula>
    </cfRule>
    <cfRule type="cellIs" dxfId="38" priority="44" operator="equal">
      <formula>TRUE</formula>
    </cfRule>
  </conditionalFormatting>
  <conditionalFormatting sqref="F335">
    <cfRule type="cellIs" dxfId="37" priority="41" operator="equal">
      <formula>FALSE</formula>
    </cfRule>
    <cfRule type="cellIs" dxfId="36" priority="42" operator="equal">
      <formula>TRUE</formula>
    </cfRule>
  </conditionalFormatting>
  <conditionalFormatting sqref="F339">
    <cfRule type="cellIs" dxfId="35" priority="37" operator="equal">
      <formula>FALSE</formula>
    </cfRule>
    <cfRule type="cellIs" dxfId="34" priority="38" operator="equal">
      <formula>TRUE</formula>
    </cfRule>
  </conditionalFormatting>
  <conditionalFormatting sqref="F337">
    <cfRule type="cellIs" dxfId="33" priority="39" operator="equal">
      <formula>FALSE</formula>
    </cfRule>
    <cfRule type="cellIs" dxfId="32" priority="40" operator="equal">
      <formula>TRUE</formula>
    </cfRule>
  </conditionalFormatting>
  <conditionalFormatting sqref="F345">
    <cfRule type="cellIs" dxfId="31" priority="27" operator="equal">
      <formula>FALSE</formula>
    </cfRule>
    <cfRule type="cellIs" dxfId="30" priority="28" operator="equal">
      <formula>TRUE</formula>
    </cfRule>
  </conditionalFormatting>
  <conditionalFormatting sqref="F329">
    <cfRule type="cellIs" dxfId="29" priority="35" operator="equal">
      <formula>FALSE</formula>
    </cfRule>
    <cfRule type="cellIs" dxfId="28" priority="36" operator="equal">
      <formula>TRUE</formula>
    </cfRule>
  </conditionalFormatting>
  <conditionalFormatting sqref="F341">
    <cfRule type="cellIs" dxfId="27" priority="31" operator="equal">
      <formula>FALSE</formula>
    </cfRule>
    <cfRule type="cellIs" dxfId="26" priority="32" operator="equal">
      <formula>TRUE</formula>
    </cfRule>
  </conditionalFormatting>
  <conditionalFormatting sqref="F353">
    <cfRule type="cellIs" dxfId="25" priority="19" operator="equal">
      <formula>FALSE</formula>
    </cfRule>
    <cfRule type="cellIs" dxfId="24" priority="20" operator="equal">
      <formula>TRUE</formula>
    </cfRule>
  </conditionalFormatting>
  <conditionalFormatting sqref="F343">
    <cfRule type="cellIs" dxfId="23" priority="29" operator="equal">
      <formula>FALSE</formula>
    </cfRule>
    <cfRule type="cellIs" dxfId="22" priority="30" operator="equal">
      <formula>TRUE</formula>
    </cfRule>
  </conditionalFormatting>
  <conditionalFormatting sqref="F349">
    <cfRule type="cellIs" dxfId="21" priority="23" operator="equal">
      <formula>FALSE</formula>
    </cfRule>
    <cfRule type="cellIs" dxfId="20" priority="24" operator="equal">
      <formula>TRUE</formula>
    </cfRule>
  </conditionalFormatting>
  <conditionalFormatting sqref="F347">
    <cfRule type="cellIs" dxfId="19" priority="25" operator="equal">
      <formula>FALSE</formula>
    </cfRule>
    <cfRule type="cellIs" dxfId="18" priority="26" operator="equal">
      <formula>TRUE</formula>
    </cfRule>
  </conditionalFormatting>
  <conditionalFormatting sqref="F351">
    <cfRule type="cellIs" dxfId="17" priority="21" operator="equal">
      <formula>FALSE</formula>
    </cfRule>
    <cfRule type="cellIs" dxfId="16" priority="22" operator="equal">
      <formula>TRUE</formula>
    </cfRule>
  </conditionalFormatting>
  <conditionalFormatting sqref="F363">
    <cfRule type="cellIs" dxfId="15" priority="11" operator="equal">
      <formula>FALSE</formula>
    </cfRule>
    <cfRule type="cellIs" dxfId="14" priority="12" operator="equal">
      <formula>TRUE</formula>
    </cfRule>
  </conditionalFormatting>
  <conditionalFormatting sqref="F357">
    <cfRule type="cellIs" dxfId="13" priority="15" operator="equal">
      <formula>FALSE</formula>
    </cfRule>
    <cfRule type="cellIs" dxfId="12" priority="16" operator="equal">
      <formula>TRUE</formula>
    </cfRule>
  </conditionalFormatting>
  <conditionalFormatting sqref="F355">
    <cfRule type="cellIs" dxfId="11" priority="17" operator="equal">
      <formula>FALSE</formula>
    </cfRule>
    <cfRule type="cellIs" dxfId="10" priority="18" operator="equal">
      <formula>TRUE</formula>
    </cfRule>
  </conditionalFormatting>
  <conditionalFormatting sqref="F359">
    <cfRule type="cellIs" dxfId="9" priority="13" operator="equal">
      <formula>FALSE</formula>
    </cfRule>
    <cfRule type="cellIs" dxfId="8" priority="14" operator="equal">
      <formula>TRUE</formula>
    </cfRule>
  </conditionalFormatting>
  <conditionalFormatting sqref="F365">
    <cfRule type="cellIs" dxfId="7" priority="7" operator="equal">
      <formula>FALSE</formula>
    </cfRule>
    <cfRule type="cellIs" dxfId="6" priority="8" operator="equal">
      <formula>TRUE</formula>
    </cfRule>
  </conditionalFormatting>
  <conditionalFormatting sqref="F367">
    <cfRule type="cellIs" dxfId="5" priority="5" operator="equal">
      <formula>FALSE</formula>
    </cfRule>
    <cfRule type="cellIs" dxfId="4" priority="6" operator="equal">
      <formula>TRUE</formula>
    </cfRule>
  </conditionalFormatting>
  <conditionalFormatting sqref="F369">
    <cfRule type="cellIs" dxfId="3" priority="3" operator="equal">
      <formula>FALSE</formula>
    </cfRule>
    <cfRule type="cellIs" dxfId="2" priority="4" operator="equal">
      <formula>TRUE</formula>
    </cfRule>
  </conditionalFormatting>
  <conditionalFormatting sqref="F371">
    <cfRule type="cellIs" dxfId="1" priority="1" operator="equal">
      <formula>FALSE</formula>
    </cfRule>
    <cfRule type="cellIs" dxfId="0" priority="2" operator="equal">
      <formula>TRUE</formula>
    </cfRule>
  </conditionalFormatting>
  <hyperlinks>
    <hyperlink ref="H37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19"/>
  <sheetViews>
    <sheetView workbookViewId="0"/>
  </sheetViews>
  <sheetFormatPr defaultRowHeight="12.75" x14ac:dyDescent="0.2"/>
  <cols>
    <col min="1" max="1" width="16.7109375" customWidth="1"/>
    <col min="2" max="2" width="18.42578125" bestFit="1" customWidth="1"/>
    <col min="3" max="5" width="16.7109375" customWidth="1"/>
    <col min="6" max="6" width="16.42578125" customWidth="1"/>
  </cols>
  <sheetData>
    <row r="1" spans="1:21" x14ac:dyDescent="0.2">
      <c r="A1" s="2" t="str">
        <f ca="1">F1&amp;" plus "&amp;G1</f>
        <v>57 plus 59</v>
      </c>
      <c r="B1" s="2" t="str">
        <f ca="1">LEFT(A1,1)&amp;" "&amp;RIGHT(LEFT(A1,2),1)&amp;" plus "&amp;LEFT(RIGHT(A1,2))&amp;" "&amp;RIGHT(A1,1)</f>
        <v>5 7 plus 5 9</v>
      </c>
      <c r="D1" s="2"/>
      <c r="E1" s="2"/>
      <c r="F1">
        <f ca="1">RANDBETWEEN(11,99)</f>
        <v>57</v>
      </c>
      <c r="G1">
        <f ca="1">RANDBETWEEN(11,99)</f>
        <v>59</v>
      </c>
      <c r="H1">
        <f ca="1">F1+G1</f>
        <v>116</v>
      </c>
      <c r="P1">
        <v>65</v>
      </c>
      <c r="Q1">
        <v>280</v>
      </c>
      <c r="R1" s="1">
        <f>P1/10*2</f>
        <v>13</v>
      </c>
      <c r="S1" s="1">
        <f>Q1/20</f>
        <v>14</v>
      </c>
      <c r="T1">
        <f t="shared" ref="T1:T8" si="0">R1*S1</f>
        <v>182</v>
      </c>
      <c r="U1">
        <f t="shared" ref="U1:U8" si="1">Q1*P1/100</f>
        <v>182</v>
      </c>
    </row>
    <row r="2" spans="1:21" x14ac:dyDescent="0.2">
      <c r="A2" s="1"/>
      <c r="B2" s="1"/>
      <c r="C2" s="1"/>
      <c r="D2" s="2" t="b">
        <f ca="1">A2=H1</f>
        <v>0</v>
      </c>
      <c r="E2" s="2"/>
      <c r="P2">
        <v>55</v>
      </c>
      <c r="Q2">
        <v>4000</v>
      </c>
      <c r="R2" s="1">
        <f t="shared" ref="R2:R8" si="2">P2/10*2</f>
        <v>11</v>
      </c>
      <c r="S2" s="1">
        <f t="shared" ref="S2:S8" si="3">Q2/20</f>
        <v>200</v>
      </c>
      <c r="T2">
        <f t="shared" si="0"/>
        <v>2200</v>
      </c>
      <c r="U2">
        <f t="shared" si="1"/>
        <v>2200</v>
      </c>
    </row>
    <row r="3" spans="1:21" x14ac:dyDescent="0.2">
      <c r="P3">
        <v>65</v>
      </c>
      <c r="Q3">
        <v>1600</v>
      </c>
      <c r="R3" s="1">
        <f t="shared" si="2"/>
        <v>13</v>
      </c>
      <c r="S3" s="1">
        <f t="shared" si="3"/>
        <v>80</v>
      </c>
      <c r="T3">
        <f t="shared" si="0"/>
        <v>1040</v>
      </c>
      <c r="U3">
        <f t="shared" si="1"/>
        <v>1040</v>
      </c>
    </row>
    <row r="4" spans="1:21" x14ac:dyDescent="0.2">
      <c r="A4" s="3" t="str">
        <f ca="1">F4&amp;" minus "&amp;G4</f>
        <v>1113 minus 923</v>
      </c>
      <c r="B4" s="3" t="str">
        <f ca="1">LEFT(A4,1)&amp;" "&amp;RIGHT(LEFT(A4,2),1)&amp;" "&amp;RIGHT(LEFT(A4,3),1)&amp;" "&amp;RIGHT(LEFT(A4,4),1)&amp;" plus "&amp;LEFT(RIGHT(A4,3))&amp;" "&amp;LEFT(RIGHT(A4,2))&amp;" "&amp;RIGHT(A4,1)</f>
        <v>1 1 1 3 plus 9 2 3</v>
      </c>
      <c r="C4" s="3"/>
      <c r="D4" s="3"/>
      <c r="E4" s="3"/>
      <c r="F4" s="3">
        <f ca="1">RANDBETWEEN(1000,2050)</f>
        <v>1113</v>
      </c>
      <c r="G4" s="3">
        <f ca="1">RANDBETWEEN(900,950)</f>
        <v>923</v>
      </c>
      <c r="H4" s="3">
        <f ca="1">F4-G4</f>
        <v>190</v>
      </c>
      <c r="P4">
        <v>55</v>
      </c>
      <c r="Q4">
        <v>300</v>
      </c>
      <c r="R4" s="1">
        <f t="shared" si="2"/>
        <v>11</v>
      </c>
      <c r="S4" s="1">
        <f t="shared" si="3"/>
        <v>15</v>
      </c>
      <c r="T4">
        <f t="shared" si="0"/>
        <v>165</v>
      </c>
      <c r="U4">
        <f t="shared" si="1"/>
        <v>165</v>
      </c>
    </row>
    <row r="5" spans="1:21" x14ac:dyDescent="0.2">
      <c r="A5" s="3"/>
      <c r="B5" s="3"/>
      <c r="C5" s="3"/>
      <c r="D5" s="3" t="b">
        <f ca="1">A5=H4</f>
        <v>0</v>
      </c>
      <c r="E5" s="3"/>
      <c r="F5" s="3"/>
      <c r="G5" s="3"/>
      <c r="H5" s="3"/>
      <c r="P5">
        <v>35</v>
      </c>
      <c r="Q5">
        <v>300</v>
      </c>
      <c r="R5" s="1">
        <f t="shared" si="2"/>
        <v>7</v>
      </c>
      <c r="S5" s="1">
        <f t="shared" si="3"/>
        <v>15</v>
      </c>
      <c r="T5">
        <f t="shared" si="0"/>
        <v>105</v>
      </c>
      <c r="U5">
        <f t="shared" si="1"/>
        <v>105</v>
      </c>
    </row>
    <row r="6" spans="1:21" x14ac:dyDescent="0.2">
      <c r="P6">
        <v>45</v>
      </c>
      <c r="Q6">
        <v>280</v>
      </c>
      <c r="R6" s="1">
        <f t="shared" si="2"/>
        <v>9</v>
      </c>
      <c r="S6" s="1">
        <f t="shared" si="3"/>
        <v>14</v>
      </c>
      <c r="T6">
        <f t="shared" si="0"/>
        <v>126</v>
      </c>
      <c r="U6">
        <f t="shared" si="1"/>
        <v>126</v>
      </c>
    </row>
    <row r="7" spans="1:21" x14ac:dyDescent="0.2">
      <c r="A7" s="2" t="str">
        <f ca="1">F7&amp;" times "&amp;G7</f>
        <v>2 times 16</v>
      </c>
      <c r="B7" t="str">
        <f ca="1">LEFT(A7,1)&amp;" "&amp;RIGHT(LEFT(A7,2),1)&amp;" times "&amp;LEFT(RIGHT(A7,2))&amp;" "&amp;RIGHT(A7,1)</f>
        <v>2   times 1 6</v>
      </c>
      <c r="C7" s="2"/>
      <c r="D7" s="2"/>
      <c r="E7" s="2"/>
      <c r="F7">
        <f ca="1">RANDBETWEEN(2,19)</f>
        <v>2</v>
      </c>
      <c r="G7">
        <f ca="1">RANDBETWEEN(2,19)</f>
        <v>16</v>
      </c>
      <c r="H7">
        <f ca="1">F7*G7</f>
        <v>32</v>
      </c>
      <c r="P7">
        <v>35</v>
      </c>
      <c r="Q7">
        <v>160</v>
      </c>
      <c r="R7" s="1">
        <f t="shared" si="2"/>
        <v>7</v>
      </c>
      <c r="S7" s="1">
        <f t="shared" si="3"/>
        <v>8</v>
      </c>
      <c r="T7">
        <f t="shared" si="0"/>
        <v>56</v>
      </c>
      <c r="U7">
        <f t="shared" si="1"/>
        <v>56</v>
      </c>
    </row>
    <row r="8" spans="1:21" x14ac:dyDescent="0.2">
      <c r="A8" s="1"/>
      <c r="B8" s="1"/>
      <c r="C8" s="1"/>
      <c r="D8" s="2" t="b">
        <f ca="1">A8=H7</f>
        <v>0</v>
      </c>
      <c r="E8" s="2"/>
      <c r="P8">
        <v>65</v>
      </c>
      <c r="Q8">
        <v>120</v>
      </c>
      <c r="R8" s="1">
        <f t="shared" si="2"/>
        <v>13</v>
      </c>
      <c r="S8" s="1">
        <f t="shared" si="3"/>
        <v>6</v>
      </c>
      <c r="T8">
        <f t="shared" si="0"/>
        <v>78</v>
      </c>
      <c r="U8">
        <f t="shared" si="1"/>
        <v>78</v>
      </c>
    </row>
    <row r="9" spans="1:21" x14ac:dyDescent="0.2">
      <c r="A9" s="2"/>
      <c r="B9" s="2"/>
      <c r="C9" s="2"/>
      <c r="D9" s="2"/>
      <c r="E9" s="2"/>
    </row>
    <row r="10" spans="1:21" x14ac:dyDescent="0.2">
      <c r="A10" s="2" t="str">
        <f ca="1">F10&amp;" divided by "&amp;G10</f>
        <v>488 divided by 8</v>
      </c>
      <c r="B10" t="str">
        <f ca="1">LEFT(A10,1)&amp;" "&amp;RIGHT(LEFT(A10,2),1)&amp;" "&amp;RIGHT(LEFT(A10,3),1)&amp;" divided by "&amp;LEFT(RIGHT(A10,2))&amp;" "&amp;RIGHT(A10,1)</f>
        <v>4 8 8 divided by   8</v>
      </c>
      <c r="C10" s="2"/>
      <c r="D10" s="2"/>
      <c r="E10" s="2"/>
      <c r="F10">
        <f ca="1">G10*H10</f>
        <v>488</v>
      </c>
      <c r="G10">
        <f ca="1">RANDBETWEEN(2,9)</f>
        <v>8</v>
      </c>
      <c r="H10">
        <f ca="1">RANDBETWEEN(11,99)</f>
        <v>61</v>
      </c>
    </row>
    <row r="11" spans="1:21" x14ac:dyDescent="0.2">
      <c r="A11" s="1"/>
      <c r="B11" s="1"/>
      <c r="C11" s="1"/>
      <c r="D11" s="2" t="b">
        <f ca="1">A11=H10</f>
        <v>0</v>
      </c>
      <c r="E11" s="2"/>
    </row>
    <row r="13" spans="1:21" x14ac:dyDescent="0.2">
      <c r="A13" s="2" t="str">
        <f ca="1">F13&amp;" percent of "&amp;G13</f>
        <v>40 percent of 320</v>
      </c>
      <c r="B13" t="str">
        <f ca="1">LEFT(A13,1)&amp;" "&amp;RIGHT(LEFT(A13,2),1)&amp;" percent of "&amp;LEFT(RIGHT(A13,4))&amp;" "&amp;LEFT(RIGHT(A13,3))&amp;" "&amp;LEFT(RIGHT(A13,2))&amp;" "&amp;RIGHT(A13,1)</f>
        <v>4 0 percent of   3 2 0</v>
      </c>
      <c r="C13" s="2"/>
      <c r="D13" s="2"/>
      <c r="E13" s="2"/>
      <c r="F13">
        <f ca="1">CHOOSE(RANDBETWEEN(1,12),35,45,55,65,75,85,30,40,50,60,70,80)</f>
        <v>40</v>
      </c>
      <c r="G13">
        <f ca="1">CHOOSE(RANDBETWEEN(1,2),(RANDBETWEEN(6,20)*20),(RANDBETWEEN(6,20)*200))</f>
        <v>320</v>
      </c>
      <c r="H13" s="4">
        <f ca="1">F13*G13/100</f>
        <v>128</v>
      </c>
    </row>
    <row r="14" spans="1:21" x14ac:dyDescent="0.2">
      <c r="A14" s="1"/>
      <c r="B14" s="1"/>
      <c r="C14" s="1"/>
      <c r="D14" t="b">
        <f ca="1">A14=H13</f>
        <v>0</v>
      </c>
    </row>
    <row r="16" spans="1:21" x14ac:dyDescent="0.2">
      <c r="G16" s="5"/>
      <c r="H16" s="4"/>
    </row>
    <row r="17" spans="8:8" x14ac:dyDescent="0.2">
      <c r="H17" s="4"/>
    </row>
    <row r="18" spans="8:8" x14ac:dyDescent="0.2">
      <c r="H18" s="4"/>
    </row>
    <row r="19" spans="8:8" x14ac:dyDescent="0.2">
      <c r="H19" s="4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haredContentType xmlns="Microsoft.SharePoint.Taxonomy.ContentTypeSync" SourceId="8fb135ec-df78-4771-b246-ee3879de3bc6" ContentTypeId="0x010100D0AFC36ACFD74F7BA0C77049996D405C" PreviousValue="false"/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ExpertContentDocumentLibrary" ma:contentTypeID="0x010100D0AFC36ACFD74F7BA0C77049996D405C00FF49417D29D72E4D9B5054C9AC26121A" ma:contentTypeVersion="0" ma:contentTypeDescription="" ma:contentTypeScope="" ma:versionID="6360a5f94c527d9e7ec2ba7d0336b460">
  <xsd:schema xmlns:xsd="http://www.w3.org/2001/XMLSchema" xmlns:xs="http://www.w3.org/2001/XMLSchema" xmlns:p="http://schemas.microsoft.com/office/2006/metadata/properties" xmlns:ns2="92833d98-8015-4e73-bff4-7fc7bdc77146" xmlns:ns3="72acfbc7-13d6-4e32-8fe0-794e2d8bf5d1" xmlns:ns4="f2684793-112f-4fec-9fa7-c952a73f86d3" targetNamespace="http://schemas.microsoft.com/office/2006/metadata/properties" ma:root="true" ma:fieldsID="4dd616222a85d58f18a73fd7fa601ae7" ns2:_="" ns3:_="" ns4:_="">
    <xsd:import namespace="92833d98-8015-4e73-bff4-7fc7bdc77146"/>
    <xsd:import namespace="72acfbc7-13d6-4e32-8fe0-794e2d8bf5d1"/>
    <xsd:import namespace="f2684793-112f-4fec-9fa7-c952a73f86d3"/>
    <xsd:element name="properties">
      <xsd:complexType>
        <xsd:sequence>
          <xsd:element name="documentManagement">
            <xsd:complexType>
              <xsd:all>
                <xsd:element ref="ns2:ExpertContentTaxHTField0" minOccurs="0"/>
                <xsd:element ref="ns2:FunctionalAreaTaxHTField0" minOccurs="0"/>
                <xsd:element ref="ns3:ProductsTaxHTField0" minOccurs="0"/>
                <xsd:element ref="ns2:IndustriesTaxHTField0" minOccurs="0"/>
                <xsd:element ref="ns2:ClientsTaxHTField0" minOccurs="0"/>
                <xsd:element ref="ns2:CountriesTaxHTField0" minOccurs="0"/>
                <xsd:element ref="ns2:gNetLanguagesTaxHTField0" minOccurs="0"/>
                <xsd:element ref="ns2:gNetNextKeyDocument"/>
                <xsd:element ref="ns4:TaxCatchAll" minOccurs="0"/>
                <xsd:element ref="ns2:TaxCatchAllLabe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833d98-8015-4e73-bff4-7fc7bdc77146" elementFormDefault="qualified">
    <xsd:import namespace="http://schemas.microsoft.com/office/2006/documentManagement/types"/>
    <xsd:import namespace="http://schemas.microsoft.com/office/infopath/2007/PartnerControls"/>
    <xsd:element name="ExpertContentTaxHTField0" ma:index="9" nillable="true" ma:taxonomy="true" ma:internalName="ExpertContentTaxHTField0" ma:taxonomyFieldName="ExpertContent" ma:displayName="ExpertContent" ma:fieldId="{2e50cadb-926e-4b9a-81cc-b2fc0d2a2e8b}" ma:taxonomyMulti="true" ma:sspId="8fb135ec-df78-4771-b246-ee3879de3bc6" ma:termSetId="d12b150b-4d9a-4c34-8e5a-626529ef7d59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FunctionalAreaTaxHTField0" ma:index="11" nillable="true" ma:taxonomy="true" ma:internalName="FunctionalAreaTaxHTField0" ma:taxonomyFieldName="FunctionalArea" ma:displayName="Functional Area" ma:fieldId="{5addb8ce-8b98-4715-b99a-23c7b3b4de54}" ma:taxonomyMulti="true" ma:sspId="8fb135ec-df78-4771-b246-ee3879de3bc6" ma:termSetId="034b5738-649c-45b4-805f-e334dfe593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dustriesTaxHTField0" ma:index="15" nillable="true" ma:taxonomy="true" ma:internalName="IndustriesTaxHTField0" ma:taxonomyFieldName="Industries" ma:displayName="Industries" ma:fieldId="{d0887a73-b12b-4166-9bd3-ad77ad44a61f}" ma:taxonomyMulti="true" ma:sspId="8fb135ec-df78-4771-b246-ee3879de3bc6" ma:termSetId="5a885248-49da-421b-8a8b-00dd6ab23a4c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lientsTaxHTField0" ma:index="17" nillable="true" ma:taxonomy="true" ma:internalName="ClientsTaxHTField0" ma:taxonomyFieldName="Clients" ma:displayName="Clients" ma:fieldId="{5af12878-23aa-47d7-b623-ebafe040e8cf}" ma:taxonomyMulti="true" ma:sspId="8fb135ec-df78-4771-b246-ee3879de3bc6" ma:termSetId="7d4bc5b7-a2e0-4278-8bd4-f6b755a7f79f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ountriesTaxHTField0" ma:index="18" nillable="true" ma:taxonomy="true" ma:internalName="CountriesTaxHTField0" ma:taxonomyFieldName="Countries" ma:displayName="Countries" ma:fieldId="{d9e72649-4232-47f2-b7f4-bdcc13b6dc2c}" ma:taxonomyMulti="true" ma:sspId="8fb135ec-df78-4771-b246-ee3879de3bc6" ma:termSetId="17f85a7b-bb8b-458a-ba28-17ef49c29ac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gNetLanguagesTaxHTField0" ma:index="21" nillable="true" ma:taxonomy="true" ma:internalName="gNetLanguagesTaxHTField0" ma:taxonomyFieldName="gNetLanguages" ma:displayName="Languages" ma:fieldId="{24fb12aa-1f3c-4882-98e8-a7edf33f2f19}" ma:taxonomyMulti="true" ma:sspId="8fb135ec-df78-4771-b246-ee3879de3bc6" ma:termSetId="b5ee173a-9bdd-41a2-a4ac-db00794e065d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gNetNextKeyDocument" ma:index="22" ma:displayName="Key Document" ma:default="No" ma:description="Documents that are of high importance" ma:internalName="gNetNextKeyDocument">
      <xsd:simpleType>
        <xsd:restriction base="dms:Choice">
          <xsd:enumeration value="Yes"/>
          <xsd:enumeration value="No"/>
        </xsd:restriction>
      </xsd:simpleType>
    </xsd:element>
    <xsd:element name="TaxCatchAllLabel" ma:index="24" nillable="true" ma:displayName="Taxonomy Catch All Column1" ma:hidden="true" ma:list="{e9390788-7e97-4405-b41d-ec2f65580922}" ma:internalName="TaxCatchAllLabel" ma:readOnly="true" ma:showField="CatchAllDataLabel" ma:web="3ad493c7-26de-4ac2-94db-ffb4b239bb7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2acfbc7-13d6-4e32-8fe0-794e2d8bf5d1" elementFormDefault="qualified">
    <xsd:import namespace="http://schemas.microsoft.com/office/2006/documentManagement/types"/>
    <xsd:import namespace="http://schemas.microsoft.com/office/infopath/2007/PartnerControls"/>
    <xsd:element name="ProductsTaxHTField0" ma:index="13" nillable="true" ma:taxonomy="true" ma:internalName="ProductsTaxHTField0" ma:taxonomyFieldName="Products" ma:displayName="Products" ma:fieldId="{d0bc3ba7-8911-43ef-8d13-b9b9962042ef}" ma:taxonomyMulti="true" ma:sspId="8fb135ec-df78-4771-b246-ee3879de3bc6" ma:termSetId="cbb9bdaf-82c2-446c-b699-94acba818cb2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684793-112f-4fec-9fa7-c952a73f86d3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internalName="TaxCatchAll" ma:showField="CatchAllDat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684793-112f-4fec-9fa7-c952a73f86d3">
      <Value>64</Value>
      <Value>69</Value>
      <Value>57</Value>
      <Value>97</Value>
      <Value>68</Value>
      <Value>73</Value>
    </TaxCatchAll>
    <ProductsTaxHTField0 xmlns="72acfbc7-13d6-4e32-8fe0-794e2d8bf5d1">
      <Terms xmlns="http://schemas.microsoft.com/office/infopath/2007/PartnerControls">
        <TermInfo xmlns="http://schemas.microsoft.com/office/infopath/2007/PartnerControls">
          <TermName xmlns="http://schemas.microsoft.com/office/infopath/2007/PartnerControls">Not applicable</TermName>
          <TermId xmlns="http://schemas.microsoft.com/office/infopath/2007/PartnerControls">15480a47-f0f1-4795-a643-bf3b2e95805c</TermId>
        </TermInfo>
      </Terms>
    </ProductsTaxHTField0>
    <gNetLanguagesTaxHTField0 xmlns="92833d98-8015-4e73-bff4-7fc7bdc77146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English</TermName>
          <TermId xmlns="http://schemas.microsoft.com/office/infopath/2007/PartnerControls">914398da-6a81-430b-8d1c-6a7bd1227f71</TermId>
        </TermInfo>
      </Terms>
    </gNetLanguagesTaxHTField0>
    <IndustriesTaxHTField0 xmlns="92833d98-8015-4e73-bff4-7fc7bdc77146">
      <Terms xmlns="http://schemas.microsoft.com/office/infopath/2007/PartnerControls">
        <TermInfo xmlns="http://schemas.microsoft.com/office/infopath/2007/PartnerControls">
          <TermName xmlns="http://schemas.microsoft.com/office/infopath/2007/PartnerControls">Not applicable</TermName>
          <TermId xmlns="http://schemas.microsoft.com/office/infopath/2007/PartnerControls">1b0d69d1-6137-41de-9ae5-e5925610d8cb</TermId>
        </TermInfo>
      </Terms>
    </IndustriesTaxHTField0>
    <ExpertContentTaxHTField0 xmlns="92833d98-8015-4e73-bff4-7fc7bdc77146">
      <Terms xmlns="http://schemas.microsoft.com/office/infopath/2007/PartnerControls"/>
    </ExpertContentTaxHTField0>
    <FunctionalAreaTaxHTField0 xmlns="92833d98-8015-4e73-bff4-7fc7bdc77146">
      <Terms xmlns="http://schemas.microsoft.com/office/infopath/2007/PartnerControls"/>
    </FunctionalAreaTaxHTField0>
    <CountriesTaxHTField0 xmlns="92833d98-8015-4e73-bff4-7fc7bdc77146">
      <Terms xmlns="http://schemas.microsoft.com/office/infopath/2007/PartnerControls">
        <TermInfo xmlns="http://schemas.microsoft.com/office/infopath/2007/PartnerControls">
          <TermName xmlns="http://schemas.microsoft.com/office/infopath/2007/PartnerControls">Global</TermName>
          <TermId xmlns="http://schemas.microsoft.com/office/infopath/2007/PartnerControls">3eaca359-c4b3-4b51-a927-e9852da92384</TermId>
        </TermInfo>
      </Terms>
    </CountriesTaxHTField0>
    <ClientsTaxHTField0 xmlns="92833d98-8015-4e73-bff4-7fc7bdc77146">
      <Terms xmlns="http://schemas.microsoft.com/office/infopath/2007/PartnerControls">
        <TermInfo xmlns="http://schemas.microsoft.com/office/infopath/2007/PartnerControls">
          <TermName xmlns="http://schemas.microsoft.com/office/infopath/2007/PartnerControls">Not applicable</TermName>
          <TermId xmlns="http://schemas.microsoft.com/office/infopath/2007/PartnerControls">457da623-78f9-49de-8564-b1618c49ba59</TermId>
        </TermInfo>
      </Terms>
    </ClientsTaxHTField0>
    <gNetNextKeyDocument xmlns="92833d98-8015-4e73-bff4-7fc7bdc77146">No</gNetNextKeyDocument>
  </documentManagement>
</p:properties>
</file>

<file path=customXml/itemProps1.xml><?xml version="1.0" encoding="utf-8"?>
<ds:datastoreItem xmlns:ds="http://schemas.openxmlformats.org/officeDocument/2006/customXml" ds:itemID="{FDF09A26-9023-4798-A4A9-90737409C1A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ABE0621-2CCE-4417-AFBF-BE5B8A71D39B}">
  <ds:schemaRefs>
    <ds:schemaRef ds:uri="Microsoft.SharePoint.Taxonomy.ContentTypeSync"/>
  </ds:schemaRefs>
</ds:datastoreItem>
</file>

<file path=customXml/itemProps3.xml><?xml version="1.0" encoding="utf-8"?>
<ds:datastoreItem xmlns:ds="http://schemas.openxmlformats.org/officeDocument/2006/customXml" ds:itemID="{362E6889-D0FC-42B3-ADE6-8BEB21269DB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2833d98-8015-4e73-bff4-7fc7bdc77146"/>
    <ds:schemaRef ds:uri="72acfbc7-13d6-4e32-8fe0-794e2d8bf5d1"/>
    <ds:schemaRef ds:uri="f2684793-112f-4fec-9fa7-c952a73f86d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1F480E75-6D1D-44D0-B504-9E00170BB20C}">
  <ds:schemaRefs>
    <ds:schemaRef ds:uri="http://schemas.microsoft.com/office/2006/documentManagement/types"/>
    <ds:schemaRef ds:uri="http://purl.org/dc/elements/1.1/"/>
    <ds:schemaRef ds:uri="http://purl.org/dc/dcmitype/"/>
    <ds:schemaRef ds:uri="72acfbc7-13d6-4e32-8fe0-794e2d8bf5d1"/>
    <ds:schemaRef ds:uri="http://schemas.microsoft.com/office/infopath/2007/PartnerControls"/>
    <ds:schemaRef ds:uri="http://schemas.openxmlformats.org/package/2006/metadata/core-properties"/>
    <ds:schemaRef ds:uri="http://purl.org/dc/terms/"/>
    <ds:schemaRef ds:uri="f2684793-112f-4fec-9fa7-c952a73f86d3"/>
    <ds:schemaRef ds:uri="92833d98-8015-4e73-bff4-7fc7bdc77146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Formulas</vt:lpstr>
      <vt:lpstr>Questions</vt:lpstr>
      <vt:lpstr>Backup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Gençer Güleryüz</dc:creator>
  <cp:lastModifiedBy>ATPL TV - 2</cp:lastModifiedBy>
  <cp:lastPrinted>2016-11-30T09:05:48Z</cp:lastPrinted>
  <dcterms:created xsi:type="dcterms:W3CDTF">2012-01-27T13:32:47Z</dcterms:created>
  <dcterms:modified xsi:type="dcterms:W3CDTF">2023-04-10T12:04:24Z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0x010100D0AFC36ACFD74F7BA0C77049996D405C00FF49417D29D72E4D9B5054C9AC26121A</vt:lpwstr>
  </property>
  <property fmtid="{D5CDD505-2E9C-101B-9397-08002B2CF9AE}" pid="3" name="Clients">
    <vt:lpwstr>4;#Not applicable|457da623-78f9-49de-8564-b1618c49ba59</vt:lpwstr>
  </property>
  <property fmtid="{D5CDD505-2E9C-101B-9397-08002B2CF9AE}" pid="4" name="Countries">
    <vt:lpwstr>3;#Global|3eaca359-c4b3-4b51-a927-e9852da92384</vt:lpwstr>
  </property>
  <property fmtid="{D5CDD505-2E9C-101B-9397-08002B2CF9AE}" pid="5" name="TaxKeyword">
    <vt:lpwstr/>
  </property>
  <property fmtid="{D5CDD505-2E9C-101B-9397-08002B2CF9AE}" pid="6" name="Solutions">
    <vt:lpwstr>64;#Not applicable|15480a47-f0f1-4795-a643-bf3b2e95805c</vt:lpwstr>
  </property>
  <property fmtid="{D5CDD505-2E9C-101B-9397-08002B2CF9AE}" pid="7" name="GfK sector">
    <vt:lpwstr>68;#Cross Sector|d51dcd69-a6f7-4fb6-bc11-144a9da6fd82</vt:lpwstr>
  </property>
  <property fmtid="{D5CDD505-2E9C-101B-9397-08002B2CF9AE}" pid="8" name="Support Services">
    <vt:lpwstr>25;#Corporate Design Guidelines|1cd61861-7629-4907-97f6-83d66b33e039</vt:lpwstr>
  </property>
  <property fmtid="{D5CDD505-2E9C-101B-9397-08002B2CF9AE}" pid="9" name="Languages">
    <vt:lpwstr>73;#English|914398da-6a81-430b-8d1c-6a7bd1227f71</vt:lpwstr>
  </property>
  <property fmtid="{D5CDD505-2E9C-101B-9397-08002B2CF9AE}" pid="10" name="Industries">
    <vt:lpwstr>6;#Not applicable|1b0d69d1-6137-41de-9ae5-e5925610d8cb</vt:lpwstr>
  </property>
  <property fmtid="{D5CDD505-2E9C-101B-9397-08002B2CF9AE}" pid="11" name="Methodology">
    <vt:lpwstr/>
  </property>
  <property fmtid="{D5CDD505-2E9C-101B-9397-08002B2CF9AE}" pid="12" name="Order">
    <vt:r8>3100</vt:r8>
  </property>
  <property fmtid="{D5CDD505-2E9C-101B-9397-08002B2CF9AE}" pid="13" name="FunctionalArea">
    <vt:lpwstr/>
  </property>
  <property fmtid="{D5CDD505-2E9C-101B-9397-08002B2CF9AE}" pid="14" name="ExpertContent">
    <vt:lpwstr/>
  </property>
  <property fmtid="{D5CDD505-2E9C-101B-9397-08002B2CF9AE}" pid="15" name="Products">
    <vt:lpwstr>5;#Not applicable|15480a47-f0f1-4795-a643-bf3b2e95805c</vt:lpwstr>
  </property>
  <property fmtid="{D5CDD505-2E9C-101B-9397-08002B2CF9AE}" pid="16" name="gNetLanguages">
    <vt:lpwstr>8;#English|914398da-6a81-430b-8d1c-6a7bd1227f71</vt:lpwstr>
  </property>
</Properties>
</file>